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mfs.local\AKC-ABL\Users2\ellen.yasumiishi\My Documents\ECOCONS\2018\"/>
    </mc:Choice>
  </mc:AlternateContent>
  <bookViews>
    <workbookView xWindow="5820" yWindow="3885" windowWidth="23955" windowHeight="9270" activeTab="2"/>
  </bookViews>
  <sheets>
    <sheet name="All data" sheetId="1" r:id="rId1"/>
    <sheet name="2017 Ianelli" sheetId="7" r:id="rId2"/>
    <sheet name="pollock Model 2017 data" sheetId="8" r:id="rId3"/>
  </sheets>
  <definedNames>
    <definedName name="Age_3_pollock" localSheetId="2">'pollock Model 2017 data'!$O$2:$Y$56</definedName>
    <definedName name="Ianelli_Table_1.30_et_al_2016_pollock_Model_2016" localSheetId="2">'pollock Model 2017 data'!$A$1:$M$57</definedName>
  </definedNames>
  <calcPr calcId="162913"/>
</workbook>
</file>

<file path=xl/calcChain.xml><?xml version="1.0" encoding="utf-8"?>
<calcChain xmlns="http://schemas.openxmlformats.org/spreadsheetml/2006/main">
  <c r="N155" i="7" l="1"/>
  <c r="M154" i="7"/>
  <c r="L153" i="7"/>
  <c r="K152" i="7"/>
  <c r="I150" i="7"/>
  <c r="J151" i="7"/>
  <c r="B79" i="7"/>
  <c r="H123" i="7"/>
  <c r="C123" i="7"/>
  <c r="D123" i="7"/>
  <c r="E123" i="7"/>
  <c r="F123" i="7"/>
  <c r="G123" i="7"/>
  <c r="I123" i="7"/>
  <c r="J123" i="7"/>
  <c r="K123" i="7"/>
  <c r="L123" i="7"/>
  <c r="M123" i="7"/>
  <c r="C124" i="7"/>
  <c r="D124" i="7"/>
  <c r="E124" i="7"/>
  <c r="F124" i="7"/>
  <c r="G124" i="7"/>
  <c r="H124" i="7"/>
  <c r="I124" i="7"/>
  <c r="J124" i="7"/>
  <c r="K124" i="7"/>
  <c r="L124" i="7"/>
  <c r="M124" i="7"/>
  <c r="C125" i="7"/>
  <c r="D125" i="7"/>
  <c r="E125" i="7"/>
  <c r="F125" i="7"/>
  <c r="G125" i="7"/>
  <c r="H125" i="7"/>
  <c r="I125" i="7"/>
  <c r="J125" i="7"/>
  <c r="K125" i="7"/>
  <c r="L125" i="7"/>
  <c r="M125" i="7"/>
  <c r="C126" i="7"/>
  <c r="D126" i="7"/>
  <c r="E126" i="7"/>
  <c r="F126" i="7"/>
  <c r="G126" i="7"/>
  <c r="H126" i="7"/>
  <c r="I126" i="7"/>
  <c r="J126" i="7"/>
  <c r="K126" i="7"/>
  <c r="L126" i="7"/>
  <c r="M126" i="7"/>
  <c r="C127" i="7"/>
  <c r="D127" i="7"/>
  <c r="E127" i="7"/>
  <c r="F127" i="7"/>
  <c r="G127" i="7"/>
  <c r="H127" i="7"/>
  <c r="I127" i="7"/>
  <c r="J127" i="7"/>
  <c r="K127" i="7"/>
  <c r="L127" i="7"/>
  <c r="M127" i="7"/>
  <c r="C128" i="7"/>
  <c r="D128" i="7"/>
  <c r="E128" i="7"/>
  <c r="F128" i="7"/>
  <c r="G128" i="7"/>
  <c r="H128" i="7"/>
  <c r="I128" i="7"/>
  <c r="J128" i="7"/>
  <c r="K128" i="7"/>
  <c r="L128" i="7"/>
  <c r="M128" i="7"/>
  <c r="C129" i="7"/>
  <c r="D129" i="7"/>
  <c r="E129" i="7"/>
  <c r="F129" i="7"/>
  <c r="G129" i="7"/>
  <c r="H129" i="7"/>
  <c r="I129" i="7"/>
  <c r="J129" i="7"/>
  <c r="K129" i="7"/>
  <c r="L129" i="7"/>
  <c r="M129" i="7"/>
  <c r="C130" i="7"/>
  <c r="D130" i="7"/>
  <c r="E130" i="7"/>
  <c r="F130" i="7"/>
  <c r="G130" i="7"/>
  <c r="H130" i="7"/>
  <c r="I130" i="7"/>
  <c r="J130" i="7"/>
  <c r="K130" i="7"/>
  <c r="L130" i="7"/>
  <c r="M130" i="7"/>
  <c r="C131" i="7"/>
  <c r="D131" i="7"/>
  <c r="E131" i="7"/>
  <c r="F131" i="7"/>
  <c r="G131" i="7"/>
  <c r="H131" i="7"/>
  <c r="I131" i="7"/>
  <c r="J131" i="7"/>
  <c r="K131" i="7"/>
  <c r="L131" i="7"/>
  <c r="M131" i="7"/>
  <c r="C132" i="7"/>
  <c r="D132" i="7"/>
  <c r="E132" i="7"/>
  <c r="F132" i="7"/>
  <c r="G132" i="7"/>
  <c r="H132" i="7"/>
  <c r="I132" i="7"/>
  <c r="J132" i="7"/>
  <c r="K132" i="7"/>
  <c r="L132" i="7"/>
  <c r="M132" i="7"/>
  <c r="C133" i="7"/>
  <c r="D133" i="7"/>
  <c r="E133" i="7"/>
  <c r="F133" i="7"/>
  <c r="G133" i="7"/>
  <c r="H133" i="7"/>
  <c r="I133" i="7"/>
  <c r="J133" i="7"/>
  <c r="K133" i="7"/>
  <c r="L133" i="7"/>
  <c r="M133" i="7"/>
  <c r="C134" i="7"/>
  <c r="D134" i="7"/>
  <c r="E134" i="7"/>
  <c r="F134" i="7"/>
  <c r="G134" i="7"/>
  <c r="H134" i="7"/>
  <c r="I134" i="7"/>
  <c r="J134" i="7"/>
  <c r="K134" i="7"/>
  <c r="L134" i="7"/>
  <c r="M134" i="7"/>
  <c r="C135" i="7"/>
  <c r="D135" i="7"/>
  <c r="E135" i="7"/>
  <c r="F135" i="7"/>
  <c r="G135" i="7"/>
  <c r="H135" i="7"/>
  <c r="I135" i="7"/>
  <c r="J135" i="7"/>
  <c r="K135" i="7"/>
  <c r="L135" i="7"/>
  <c r="M135" i="7"/>
  <c r="C136" i="7"/>
  <c r="D136" i="7"/>
  <c r="E136" i="7"/>
  <c r="F136" i="7"/>
  <c r="G136" i="7"/>
  <c r="H136" i="7"/>
  <c r="I136" i="7"/>
  <c r="J136" i="7"/>
  <c r="K136" i="7"/>
  <c r="L136" i="7"/>
  <c r="M136" i="7"/>
  <c r="C137" i="7"/>
  <c r="D137" i="7"/>
  <c r="E137" i="7"/>
  <c r="F137" i="7"/>
  <c r="G137" i="7"/>
  <c r="H137" i="7"/>
  <c r="I137" i="7"/>
  <c r="J137" i="7"/>
  <c r="K137" i="7"/>
  <c r="L137" i="7"/>
  <c r="M137" i="7"/>
  <c r="C138" i="7"/>
  <c r="D138" i="7"/>
  <c r="E138" i="7"/>
  <c r="F138" i="7"/>
  <c r="G138" i="7"/>
  <c r="H138" i="7"/>
  <c r="I138" i="7"/>
  <c r="J138" i="7"/>
  <c r="K138" i="7"/>
  <c r="L138" i="7"/>
  <c r="M138" i="7"/>
  <c r="C139" i="7"/>
  <c r="D139" i="7"/>
  <c r="E139" i="7"/>
  <c r="F139" i="7"/>
  <c r="G139" i="7"/>
  <c r="H139" i="7"/>
  <c r="I139" i="7"/>
  <c r="J139" i="7"/>
  <c r="K139" i="7"/>
  <c r="L139" i="7"/>
  <c r="M139" i="7"/>
  <c r="C140" i="7"/>
  <c r="D140" i="7"/>
  <c r="E140" i="7"/>
  <c r="F140" i="7"/>
  <c r="G140" i="7"/>
  <c r="H140" i="7"/>
  <c r="I140" i="7"/>
  <c r="J140" i="7"/>
  <c r="K140" i="7"/>
  <c r="L140" i="7"/>
  <c r="M140" i="7"/>
  <c r="C141" i="7"/>
  <c r="D141" i="7"/>
  <c r="E141" i="7"/>
  <c r="F141" i="7"/>
  <c r="G141" i="7"/>
  <c r="H141" i="7"/>
  <c r="I141" i="7"/>
  <c r="J141" i="7"/>
  <c r="K141" i="7"/>
  <c r="L141" i="7"/>
  <c r="M141" i="7"/>
  <c r="C142" i="7"/>
  <c r="D142" i="7"/>
  <c r="E142" i="7"/>
  <c r="F142" i="7"/>
  <c r="G142" i="7"/>
  <c r="H142" i="7"/>
  <c r="I142" i="7"/>
  <c r="J142" i="7"/>
  <c r="K142" i="7"/>
  <c r="L142" i="7"/>
  <c r="M142" i="7"/>
  <c r="C143" i="7"/>
  <c r="D143" i="7"/>
  <c r="E143" i="7"/>
  <c r="F143" i="7"/>
  <c r="G143" i="7"/>
  <c r="H143" i="7"/>
  <c r="I143" i="7"/>
  <c r="J143" i="7"/>
  <c r="K143" i="7"/>
  <c r="L143" i="7"/>
  <c r="M143" i="7"/>
  <c r="C144" i="7"/>
  <c r="D144" i="7"/>
  <c r="E144" i="7"/>
  <c r="F144" i="7"/>
  <c r="G144" i="7"/>
  <c r="H144" i="7"/>
  <c r="I144" i="7"/>
  <c r="J144" i="7"/>
  <c r="K144" i="7"/>
  <c r="L144" i="7"/>
  <c r="M144" i="7"/>
  <c r="B143" i="7"/>
  <c r="B144" i="7"/>
  <c r="B123" i="7"/>
  <c r="I86" i="7"/>
  <c r="J86" i="7"/>
  <c r="K86" i="7"/>
  <c r="L86" i="7"/>
  <c r="M86" i="7"/>
  <c r="N86" i="7"/>
  <c r="J89" i="7"/>
  <c r="I88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7" i="7"/>
  <c r="L63" i="7"/>
  <c r="L62" i="7"/>
  <c r="G77" i="1"/>
  <c r="I77" i="1"/>
  <c r="N73" i="1"/>
  <c r="K90" i="7"/>
  <c r="O62" i="7"/>
  <c r="P62" i="7"/>
  <c r="Q62" i="7"/>
  <c r="R62" i="7"/>
  <c r="S62" i="7"/>
  <c r="T62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9" i="7"/>
  <c r="B62" i="7"/>
  <c r="C62" i="7"/>
  <c r="D62" i="7"/>
  <c r="E62" i="7"/>
  <c r="F62" i="7"/>
  <c r="G62" i="7"/>
  <c r="H62" i="7"/>
  <c r="I62" i="7"/>
  <c r="J62" i="7"/>
  <c r="K62" i="7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B19" i="7"/>
  <c r="C19" i="7"/>
  <c r="D19" i="7"/>
  <c r="E19" i="7"/>
  <c r="F19" i="7"/>
  <c r="G19" i="7"/>
  <c r="H19" i="7"/>
  <c r="I19" i="7"/>
  <c r="J19" i="7"/>
  <c r="K19" i="7"/>
  <c r="B20" i="7"/>
  <c r="C20" i="7"/>
  <c r="D20" i="7"/>
  <c r="E20" i="7"/>
  <c r="F20" i="7"/>
  <c r="G20" i="7"/>
  <c r="H20" i="7"/>
  <c r="I20" i="7"/>
  <c r="J20" i="7"/>
  <c r="K20" i="7"/>
  <c r="B21" i="7"/>
  <c r="C21" i="7"/>
  <c r="D21" i="7"/>
  <c r="E21" i="7"/>
  <c r="F21" i="7"/>
  <c r="G21" i="7"/>
  <c r="H21" i="7"/>
  <c r="I21" i="7"/>
  <c r="J21" i="7"/>
  <c r="K21" i="7"/>
  <c r="B22" i="7"/>
  <c r="C22" i="7"/>
  <c r="D22" i="7"/>
  <c r="E22" i="7"/>
  <c r="F22" i="7"/>
  <c r="G22" i="7"/>
  <c r="H22" i="7"/>
  <c r="I22" i="7"/>
  <c r="J22" i="7"/>
  <c r="K22" i="7"/>
  <c r="B23" i="7"/>
  <c r="C23" i="7"/>
  <c r="D23" i="7"/>
  <c r="E23" i="7"/>
  <c r="F23" i="7"/>
  <c r="G23" i="7"/>
  <c r="H23" i="7"/>
  <c r="I23" i="7"/>
  <c r="J23" i="7"/>
  <c r="K23" i="7"/>
  <c r="B24" i="7"/>
  <c r="C24" i="7"/>
  <c r="D24" i="7"/>
  <c r="E24" i="7"/>
  <c r="F24" i="7"/>
  <c r="G24" i="7"/>
  <c r="H24" i="7"/>
  <c r="I24" i="7"/>
  <c r="J24" i="7"/>
  <c r="K24" i="7"/>
  <c r="B25" i="7"/>
  <c r="C25" i="7"/>
  <c r="D25" i="7"/>
  <c r="E25" i="7"/>
  <c r="F25" i="7"/>
  <c r="G25" i="7"/>
  <c r="H25" i="7"/>
  <c r="I25" i="7"/>
  <c r="J25" i="7"/>
  <c r="K25" i="7"/>
  <c r="B26" i="7"/>
  <c r="C26" i="7"/>
  <c r="D26" i="7"/>
  <c r="E26" i="7"/>
  <c r="F26" i="7"/>
  <c r="G26" i="7"/>
  <c r="H26" i="7"/>
  <c r="I26" i="7"/>
  <c r="J26" i="7"/>
  <c r="K26" i="7"/>
  <c r="B27" i="7"/>
  <c r="C27" i="7"/>
  <c r="D27" i="7"/>
  <c r="E27" i="7"/>
  <c r="F27" i="7"/>
  <c r="G27" i="7"/>
  <c r="H27" i="7"/>
  <c r="I27" i="7"/>
  <c r="J27" i="7"/>
  <c r="K27" i="7"/>
  <c r="B28" i="7"/>
  <c r="C28" i="7"/>
  <c r="D28" i="7"/>
  <c r="E28" i="7"/>
  <c r="F28" i="7"/>
  <c r="G28" i="7"/>
  <c r="H28" i="7"/>
  <c r="I28" i="7"/>
  <c r="J28" i="7"/>
  <c r="K28" i="7"/>
  <c r="B29" i="7"/>
  <c r="C29" i="7"/>
  <c r="D29" i="7"/>
  <c r="E29" i="7"/>
  <c r="F29" i="7"/>
  <c r="G29" i="7"/>
  <c r="H29" i="7"/>
  <c r="I29" i="7"/>
  <c r="J29" i="7"/>
  <c r="K29" i="7"/>
  <c r="B30" i="7"/>
  <c r="C30" i="7"/>
  <c r="D30" i="7"/>
  <c r="E30" i="7"/>
  <c r="F30" i="7"/>
  <c r="G30" i="7"/>
  <c r="H30" i="7"/>
  <c r="I30" i="7"/>
  <c r="J30" i="7"/>
  <c r="K30" i="7"/>
  <c r="B31" i="7"/>
  <c r="C31" i="7"/>
  <c r="D31" i="7"/>
  <c r="E31" i="7"/>
  <c r="F31" i="7"/>
  <c r="G31" i="7"/>
  <c r="H31" i="7"/>
  <c r="I31" i="7"/>
  <c r="J31" i="7"/>
  <c r="K31" i="7"/>
  <c r="B32" i="7"/>
  <c r="C32" i="7"/>
  <c r="D32" i="7"/>
  <c r="E32" i="7"/>
  <c r="F32" i="7"/>
  <c r="G32" i="7"/>
  <c r="H32" i="7"/>
  <c r="I32" i="7"/>
  <c r="J32" i="7"/>
  <c r="K32" i="7"/>
  <c r="B33" i="7"/>
  <c r="C33" i="7"/>
  <c r="D33" i="7"/>
  <c r="E33" i="7"/>
  <c r="F33" i="7"/>
  <c r="G33" i="7"/>
  <c r="H33" i="7"/>
  <c r="I33" i="7"/>
  <c r="J33" i="7"/>
  <c r="K33" i="7"/>
  <c r="B34" i="7"/>
  <c r="C34" i="7"/>
  <c r="D34" i="7"/>
  <c r="E34" i="7"/>
  <c r="F34" i="7"/>
  <c r="G34" i="7"/>
  <c r="H34" i="7"/>
  <c r="I34" i="7"/>
  <c r="J34" i="7"/>
  <c r="K34" i="7"/>
  <c r="B35" i="7"/>
  <c r="C35" i="7"/>
  <c r="D35" i="7"/>
  <c r="E35" i="7"/>
  <c r="F35" i="7"/>
  <c r="G35" i="7"/>
  <c r="H35" i="7"/>
  <c r="I35" i="7"/>
  <c r="J35" i="7"/>
  <c r="K35" i="7"/>
  <c r="B36" i="7"/>
  <c r="C36" i="7"/>
  <c r="D36" i="7"/>
  <c r="E36" i="7"/>
  <c r="F36" i="7"/>
  <c r="G36" i="7"/>
  <c r="H36" i="7"/>
  <c r="I36" i="7"/>
  <c r="J36" i="7"/>
  <c r="K36" i="7"/>
  <c r="B37" i="7"/>
  <c r="C37" i="7"/>
  <c r="D37" i="7"/>
  <c r="E37" i="7"/>
  <c r="F37" i="7"/>
  <c r="G37" i="7"/>
  <c r="H37" i="7"/>
  <c r="I37" i="7"/>
  <c r="J37" i="7"/>
  <c r="K37" i="7"/>
  <c r="B38" i="7"/>
  <c r="C38" i="7"/>
  <c r="D38" i="7"/>
  <c r="E38" i="7"/>
  <c r="F38" i="7"/>
  <c r="G38" i="7"/>
  <c r="H38" i="7"/>
  <c r="I38" i="7"/>
  <c r="J38" i="7"/>
  <c r="K38" i="7"/>
  <c r="B39" i="7"/>
  <c r="C39" i="7"/>
  <c r="D39" i="7"/>
  <c r="E39" i="7"/>
  <c r="F39" i="7"/>
  <c r="G39" i="7"/>
  <c r="H39" i="7"/>
  <c r="I39" i="7"/>
  <c r="J39" i="7"/>
  <c r="K39" i="7"/>
  <c r="B40" i="7"/>
  <c r="C40" i="7"/>
  <c r="D40" i="7"/>
  <c r="E40" i="7"/>
  <c r="F40" i="7"/>
  <c r="G40" i="7"/>
  <c r="H40" i="7"/>
  <c r="I40" i="7"/>
  <c r="J40" i="7"/>
  <c r="K40" i="7"/>
  <c r="B41" i="7"/>
  <c r="C41" i="7"/>
  <c r="D41" i="7"/>
  <c r="E41" i="7"/>
  <c r="F41" i="7"/>
  <c r="G41" i="7"/>
  <c r="H41" i="7"/>
  <c r="I41" i="7"/>
  <c r="J41" i="7"/>
  <c r="K41" i="7"/>
  <c r="B42" i="7"/>
  <c r="C42" i="7"/>
  <c r="D42" i="7"/>
  <c r="E42" i="7"/>
  <c r="F42" i="7"/>
  <c r="G42" i="7"/>
  <c r="H42" i="7"/>
  <c r="I42" i="7"/>
  <c r="J42" i="7"/>
  <c r="K42" i="7"/>
  <c r="B43" i="7"/>
  <c r="C43" i="7"/>
  <c r="D43" i="7"/>
  <c r="E43" i="7"/>
  <c r="F43" i="7"/>
  <c r="G43" i="7"/>
  <c r="H43" i="7"/>
  <c r="I43" i="7"/>
  <c r="J43" i="7"/>
  <c r="K43" i="7"/>
  <c r="B44" i="7"/>
  <c r="C44" i="7"/>
  <c r="D44" i="7"/>
  <c r="E44" i="7"/>
  <c r="F44" i="7"/>
  <c r="G44" i="7"/>
  <c r="H44" i="7"/>
  <c r="I44" i="7"/>
  <c r="J44" i="7"/>
  <c r="K44" i="7"/>
  <c r="B45" i="7"/>
  <c r="C45" i="7"/>
  <c r="D45" i="7"/>
  <c r="E45" i="7"/>
  <c r="F45" i="7"/>
  <c r="G45" i="7"/>
  <c r="H45" i="7"/>
  <c r="I45" i="7"/>
  <c r="J45" i="7"/>
  <c r="K45" i="7"/>
  <c r="B46" i="7"/>
  <c r="C46" i="7"/>
  <c r="D46" i="7"/>
  <c r="E46" i="7"/>
  <c r="F46" i="7"/>
  <c r="G46" i="7"/>
  <c r="H46" i="7"/>
  <c r="I46" i="7"/>
  <c r="J46" i="7"/>
  <c r="K46" i="7"/>
  <c r="B47" i="7"/>
  <c r="C47" i="7"/>
  <c r="D47" i="7"/>
  <c r="E47" i="7"/>
  <c r="F47" i="7"/>
  <c r="G47" i="7"/>
  <c r="H47" i="7"/>
  <c r="I47" i="7"/>
  <c r="J47" i="7"/>
  <c r="K47" i="7"/>
  <c r="B48" i="7"/>
  <c r="C48" i="7"/>
  <c r="D48" i="7"/>
  <c r="E48" i="7"/>
  <c r="F48" i="7"/>
  <c r="G48" i="7"/>
  <c r="H48" i="7"/>
  <c r="I48" i="7"/>
  <c r="J48" i="7"/>
  <c r="K48" i="7"/>
  <c r="B49" i="7"/>
  <c r="C49" i="7"/>
  <c r="D49" i="7"/>
  <c r="E49" i="7"/>
  <c r="F49" i="7"/>
  <c r="G49" i="7"/>
  <c r="H49" i="7"/>
  <c r="I49" i="7"/>
  <c r="J49" i="7"/>
  <c r="K49" i="7"/>
  <c r="B50" i="7"/>
  <c r="C50" i="7"/>
  <c r="D50" i="7"/>
  <c r="E50" i="7"/>
  <c r="F50" i="7"/>
  <c r="G50" i="7"/>
  <c r="H50" i="7"/>
  <c r="I50" i="7"/>
  <c r="J50" i="7"/>
  <c r="K50" i="7"/>
  <c r="B51" i="7"/>
  <c r="C51" i="7"/>
  <c r="D51" i="7"/>
  <c r="E51" i="7"/>
  <c r="F51" i="7"/>
  <c r="G51" i="7"/>
  <c r="H51" i="7"/>
  <c r="I51" i="7"/>
  <c r="J51" i="7"/>
  <c r="K51" i="7"/>
  <c r="B52" i="7"/>
  <c r="C52" i="7"/>
  <c r="D52" i="7"/>
  <c r="E52" i="7"/>
  <c r="F52" i="7"/>
  <c r="G52" i="7"/>
  <c r="H52" i="7"/>
  <c r="I52" i="7"/>
  <c r="J52" i="7"/>
  <c r="K52" i="7"/>
  <c r="B53" i="7"/>
  <c r="C53" i="7"/>
  <c r="D53" i="7"/>
  <c r="E53" i="7"/>
  <c r="F53" i="7"/>
  <c r="G53" i="7"/>
  <c r="H53" i="7"/>
  <c r="I53" i="7"/>
  <c r="J53" i="7"/>
  <c r="K53" i="7"/>
  <c r="B54" i="7"/>
  <c r="C54" i="7"/>
  <c r="D54" i="7"/>
  <c r="E54" i="7"/>
  <c r="F54" i="7"/>
  <c r="G54" i="7"/>
  <c r="H54" i="7"/>
  <c r="I54" i="7"/>
  <c r="J54" i="7"/>
  <c r="K54" i="7"/>
  <c r="B55" i="7"/>
  <c r="C55" i="7"/>
  <c r="D55" i="7"/>
  <c r="E55" i="7"/>
  <c r="F55" i="7"/>
  <c r="G55" i="7"/>
  <c r="H55" i="7"/>
  <c r="I55" i="7"/>
  <c r="J55" i="7"/>
  <c r="K55" i="7"/>
  <c r="B56" i="7"/>
  <c r="C56" i="7"/>
  <c r="D56" i="7"/>
  <c r="E56" i="7"/>
  <c r="F56" i="7"/>
  <c r="G56" i="7"/>
  <c r="H56" i="7"/>
  <c r="I56" i="7"/>
  <c r="J56" i="7"/>
  <c r="K56" i="7"/>
  <c r="B57" i="7"/>
  <c r="C57" i="7"/>
  <c r="D57" i="7"/>
  <c r="E57" i="7"/>
  <c r="F57" i="7"/>
  <c r="G57" i="7"/>
  <c r="H57" i="7"/>
  <c r="I57" i="7"/>
  <c r="J57" i="7"/>
  <c r="K57" i="7"/>
  <c r="B58" i="7"/>
  <c r="C58" i="7"/>
  <c r="D58" i="7"/>
  <c r="E58" i="7"/>
  <c r="F58" i="7"/>
  <c r="G58" i="7"/>
  <c r="H58" i="7"/>
  <c r="I58" i="7"/>
  <c r="J58" i="7"/>
  <c r="K58" i="7"/>
  <c r="B59" i="7"/>
  <c r="C59" i="7"/>
  <c r="D59" i="7"/>
  <c r="E59" i="7"/>
  <c r="F59" i="7"/>
  <c r="G59" i="7"/>
  <c r="H59" i="7"/>
  <c r="I59" i="7"/>
  <c r="J59" i="7"/>
  <c r="K59" i="7"/>
  <c r="B60" i="7"/>
  <c r="C60" i="7"/>
  <c r="D60" i="7"/>
  <c r="E60" i="7"/>
  <c r="F60" i="7"/>
  <c r="G60" i="7"/>
  <c r="H60" i="7"/>
  <c r="I60" i="7"/>
  <c r="J60" i="7"/>
  <c r="K60" i="7"/>
  <c r="B61" i="7"/>
  <c r="C61" i="7"/>
  <c r="D61" i="7"/>
  <c r="E61" i="7"/>
  <c r="F61" i="7"/>
  <c r="G61" i="7"/>
  <c r="H61" i="7"/>
  <c r="I61" i="7"/>
  <c r="J61" i="7"/>
  <c r="K61" i="7"/>
  <c r="C9" i="7"/>
  <c r="D9" i="7"/>
  <c r="E9" i="7"/>
  <c r="F9" i="7"/>
  <c r="G9" i="7"/>
  <c r="H9" i="7"/>
  <c r="I9" i="7"/>
  <c r="J9" i="7"/>
  <c r="K9" i="7"/>
  <c r="B9" i="7"/>
  <c r="N72" i="1" l="1"/>
  <c r="A175" i="7"/>
  <c r="A173" i="7"/>
  <c r="A163" i="7"/>
  <c r="A161" i="7"/>
  <c r="A178" i="7" s="1"/>
  <c r="N177" i="7" a="1"/>
  <c r="N177" i="7" s="1"/>
  <c r="A160" i="7"/>
  <c r="A177" i="7" s="1"/>
  <c r="N176" i="7" a="1"/>
  <c r="N176" i="7" s="1"/>
  <c r="M176" i="7" a="1"/>
  <c r="M176" i="7" s="1"/>
  <c r="A159" i="7"/>
  <c r="A176" i="7" s="1"/>
  <c r="N175" i="7" a="1"/>
  <c r="N175" i="7" s="1"/>
  <c r="M175" i="7" a="1"/>
  <c r="M175" i="7" s="1"/>
  <c r="L175" i="7" a="1"/>
  <c r="L175" i="7" s="1"/>
  <c r="A158" i="7"/>
  <c r="N174" i="7" a="1"/>
  <c r="N174" i="7" s="1"/>
  <c r="M174" i="7" a="1"/>
  <c r="M174" i="7" s="1"/>
  <c r="L174" i="7" a="1"/>
  <c r="L174" i="7" s="1"/>
  <c r="K174" i="7" a="1"/>
  <c r="K174" i="7" s="1"/>
  <c r="A157" i="7"/>
  <c r="A174" i="7" s="1"/>
  <c r="A156" i="7"/>
  <c r="N172" i="7" a="1"/>
  <c r="N172" i="7" s="1"/>
  <c r="M172" i="7" a="1"/>
  <c r="M172" i="7" s="1"/>
  <c r="L172" i="7" a="1"/>
  <c r="L172" i="7" s="1"/>
  <c r="K172" i="7" a="1"/>
  <c r="K172" i="7" s="1"/>
  <c r="J172" i="7" a="1"/>
  <c r="J172" i="7" s="1"/>
  <c r="A155" i="7"/>
  <c r="A172" i="7" s="1"/>
  <c r="N171" i="7" a="1"/>
  <c r="N171" i="7" s="1"/>
  <c r="M171" i="7" a="1"/>
  <c r="M171" i="7" s="1"/>
  <c r="L171" i="7" a="1"/>
  <c r="L171" i="7" s="1"/>
  <c r="K171" i="7" a="1"/>
  <c r="K171" i="7" s="1"/>
  <c r="J171" i="7" a="1"/>
  <c r="J171" i="7" s="1"/>
  <c r="H171" i="7" a="1"/>
  <c r="H171" i="7" s="1"/>
  <c r="A154" i="7"/>
  <c r="A171" i="7" s="1"/>
  <c r="N170" i="7" a="1"/>
  <c r="N170" i="7" s="1"/>
  <c r="M170" i="7" a="1"/>
  <c r="M170" i="7" s="1"/>
  <c r="L170" i="7" a="1"/>
  <c r="L170" i="7" s="1"/>
  <c r="K170" i="7" a="1"/>
  <c r="K170" i="7" s="1"/>
  <c r="J170" i="7" a="1"/>
  <c r="J170" i="7" s="1"/>
  <c r="H170" i="7" a="1"/>
  <c r="H170" i="7" s="1"/>
  <c r="G170" i="7" a="1"/>
  <c r="G170" i="7" s="1"/>
  <c r="A153" i="7"/>
  <c r="A170" i="7" s="1"/>
  <c r="N169" i="7" a="1"/>
  <c r="N169" i="7" s="1"/>
  <c r="M169" i="7" a="1"/>
  <c r="M169" i="7" s="1"/>
  <c r="L169" i="7" a="1"/>
  <c r="L169" i="7" s="1"/>
  <c r="K169" i="7" a="1"/>
  <c r="K169" i="7" s="1"/>
  <c r="J169" i="7" a="1"/>
  <c r="J169" i="7" s="1"/>
  <c r="H169" i="7" a="1"/>
  <c r="H169" i="7" s="1"/>
  <c r="G169" i="7" a="1"/>
  <c r="F169" i="7" a="1"/>
  <c r="F169" i="7" s="1"/>
  <c r="A152" i="7"/>
  <c r="A169" i="7" s="1"/>
  <c r="N168" i="7" a="1"/>
  <c r="N168" i="7" s="1"/>
  <c r="M168" i="7" a="1"/>
  <c r="M168" i="7" s="1"/>
  <c r="L168" i="7" a="1"/>
  <c r="L168" i="7" s="1"/>
  <c r="K168" i="7" a="1"/>
  <c r="K168" i="7" s="1"/>
  <c r="J168" i="7" a="1"/>
  <c r="J168" i="7" s="1"/>
  <c r="H168" i="7" a="1"/>
  <c r="H168" i="7" s="1"/>
  <c r="G168" i="7" a="1"/>
  <c r="G168" i="7" s="1"/>
  <c r="F168" i="7" a="1"/>
  <c r="F168" i="7" s="1"/>
  <c r="E168" i="7" a="1"/>
  <c r="E168" i="7" s="1"/>
  <c r="A151" i="7"/>
  <c r="A168" i="7" s="1"/>
  <c r="N167" i="7" a="1"/>
  <c r="N167" i="7" s="1"/>
  <c r="M167" i="7" a="1"/>
  <c r="M167" i="7" s="1"/>
  <c r="L167" i="7" a="1"/>
  <c r="L167" i="7" s="1"/>
  <c r="K167" i="7" a="1"/>
  <c r="K167" i="7" s="1"/>
  <c r="J167" i="7" a="1"/>
  <c r="J167" i="7" s="1"/>
  <c r="H167" i="7" a="1"/>
  <c r="H167" i="7" s="1"/>
  <c r="G167" i="7" a="1"/>
  <c r="G167" i="7" s="1"/>
  <c r="F167" i="7" a="1"/>
  <c r="F167" i="7" s="1"/>
  <c r="E167" i="7" a="1"/>
  <c r="E167" i="7" s="1"/>
  <c r="D167" i="7" a="1"/>
  <c r="D167" i="7" s="1"/>
  <c r="A150" i="7"/>
  <c r="A167" i="7" s="1"/>
  <c r="N166" i="7" a="1"/>
  <c r="N166" i="7" s="1"/>
  <c r="M166" i="7" a="1"/>
  <c r="M166" i="7" s="1"/>
  <c r="L166" i="7" a="1"/>
  <c r="L166" i="7" s="1"/>
  <c r="K166" i="7" a="1"/>
  <c r="K166" i="7" s="1"/>
  <c r="J166" i="7" a="1"/>
  <c r="J166" i="7" s="1"/>
  <c r="H166" i="7" a="1"/>
  <c r="H166" i="7" s="1"/>
  <c r="G166" i="7" a="1"/>
  <c r="G166" i="7" s="1"/>
  <c r="F166" i="7" a="1"/>
  <c r="F166" i="7" s="1"/>
  <c r="E166" i="7" a="1"/>
  <c r="E166" i="7" s="1"/>
  <c r="D166" i="7" a="1"/>
  <c r="D166" i="7" s="1"/>
  <c r="C166" i="7" a="1"/>
  <c r="C166" i="7" s="1"/>
  <c r="A149" i="7"/>
  <c r="A166" i="7" s="1"/>
  <c r="N148" i="7"/>
  <c r="N165" i="7" s="1"/>
  <c r="M148" i="7"/>
  <c r="M165" i="7" s="1"/>
  <c r="L148" i="7"/>
  <c r="L165" i="7" s="1"/>
  <c r="K148" i="7"/>
  <c r="K165" i="7" s="1"/>
  <c r="J148" i="7"/>
  <c r="J165" i="7" s="1"/>
  <c r="I148" i="7"/>
  <c r="I165" i="7" s="1"/>
  <c r="H148" i="7"/>
  <c r="H165" i="7" s="1"/>
  <c r="G148" i="7"/>
  <c r="G165" i="7" s="1"/>
  <c r="F148" i="7"/>
  <c r="F165" i="7" s="1"/>
  <c r="E148" i="7"/>
  <c r="E165" i="7" s="1"/>
  <c r="D148" i="7"/>
  <c r="D165" i="7" s="1"/>
  <c r="C148" i="7"/>
  <c r="C165" i="7" s="1"/>
  <c r="B148" i="7"/>
  <c r="B165" i="7" s="1"/>
  <c r="M112" i="7" a="1"/>
  <c r="A107" i="7"/>
  <c r="A101" i="7"/>
  <c r="A99" i="7"/>
  <c r="A116" i="7" s="1"/>
  <c r="N115" i="7" a="1"/>
  <c r="N115" i="7" s="1"/>
  <c r="A98" i="7"/>
  <c r="A115" i="7" s="1"/>
  <c r="N114" i="7" a="1"/>
  <c r="N114" i="7" s="1"/>
  <c r="M114" i="7" a="1"/>
  <c r="M114" i="7" s="1"/>
  <c r="A97" i="7"/>
  <c r="A114" i="7" s="1"/>
  <c r="N113" i="7" a="1"/>
  <c r="N113" i="7" s="1"/>
  <c r="M113" i="7" a="1"/>
  <c r="M113" i="7" s="1"/>
  <c r="L113" i="7" a="1"/>
  <c r="L113" i="7" s="1"/>
  <c r="A96" i="7"/>
  <c r="A113" i="7" s="1"/>
  <c r="N112" i="7" a="1"/>
  <c r="N112" i="7" s="1"/>
  <c r="L112" i="7" a="1"/>
  <c r="L112" i="7" s="1"/>
  <c r="K112" i="7" a="1"/>
  <c r="K112" i="7" s="1"/>
  <c r="A95" i="7"/>
  <c r="A112" i="7" s="1"/>
  <c r="A94" i="7"/>
  <c r="A111" i="7" s="1"/>
  <c r="A93" i="7"/>
  <c r="A110" i="7" s="1"/>
  <c r="A92" i="7"/>
  <c r="A109" i="7" s="1"/>
  <c r="A91" i="7"/>
  <c r="A108" i="7" s="1"/>
  <c r="A90" i="7"/>
  <c r="A89" i="7"/>
  <c r="A106" i="7" s="1"/>
  <c r="A88" i="7"/>
  <c r="A105" i="7" s="1"/>
  <c r="A87" i="7"/>
  <c r="A104" i="7" s="1"/>
  <c r="N103" i="7"/>
  <c r="M103" i="7"/>
  <c r="L103" i="7"/>
  <c r="K103" i="7"/>
  <c r="J103" i="7"/>
  <c r="I103" i="7"/>
  <c r="H86" i="7"/>
  <c r="H103" i="7" s="1"/>
  <c r="G86" i="7"/>
  <c r="G103" i="7" s="1"/>
  <c r="F86" i="7"/>
  <c r="F103" i="7" s="1"/>
  <c r="E86" i="7"/>
  <c r="E103" i="7" s="1"/>
  <c r="D86" i="7"/>
  <c r="D103" i="7" s="1"/>
  <c r="C86" i="7"/>
  <c r="C103" i="7" s="1"/>
  <c r="B86" i="7"/>
  <c r="B103" i="7" s="1"/>
  <c r="E7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D79" i="7" l="1"/>
  <c r="G169" i="7"/>
  <c r="M112" i="7"/>
  <c r="C79" i="7"/>
  <c r="F79" i="7"/>
  <c r="G79" i="7"/>
  <c r="M110" i="7" a="1"/>
  <c r="M110" i="7" s="1"/>
  <c r="H107" i="7" a="1"/>
  <c r="H107" i="7" s="1"/>
  <c r="B87" i="7"/>
  <c r="J108" i="7" a="1"/>
  <c r="J108" i="7" s="1"/>
  <c r="L105" i="7" a="1"/>
  <c r="L105" i="7" s="1"/>
  <c r="M92" i="7"/>
  <c r="F78" i="7" s="1"/>
  <c r="M109" i="7" a="1"/>
  <c r="M105" i="7" a="1"/>
  <c r="M105" i="7" s="1"/>
  <c r="E105" i="7" a="1"/>
  <c r="E105" i="7" s="1"/>
  <c r="N107" i="7" a="1"/>
  <c r="N107" i="7" s="1"/>
  <c r="J107" i="7" a="1"/>
  <c r="J107" i="7" s="1"/>
  <c r="G105" i="7" a="1"/>
  <c r="G105" i="7" s="1"/>
  <c r="M104" i="7" a="1"/>
  <c r="M104" i="7" s="1"/>
  <c r="E104" i="7" a="1"/>
  <c r="E104" i="7" s="1"/>
  <c r="K104" i="7" a="1"/>
  <c r="K104" i="7" s="1"/>
  <c r="G104" i="7" a="1"/>
  <c r="G104" i="7" s="1"/>
  <c r="C104" i="7" a="1"/>
  <c r="C104" i="7" s="1"/>
  <c r="J104" i="7" a="1"/>
  <c r="J104" i="7" s="1"/>
  <c r="N104" i="7" a="1"/>
  <c r="N104" i="7" s="1"/>
  <c r="F104" i="7" a="1"/>
  <c r="F104" i="7" s="1"/>
  <c r="K108" i="7" a="1"/>
  <c r="K108" i="7" s="1"/>
  <c r="G108" i="7" a="1"/>
  <c r="G108" i="7" s="1"/>
  <c r="M108" i="7" a="1"/>
  <c r="M108" i="7" s="1"/>
  <c r="L91" i="7"/>
  <c r="H108" i="7" a="1"/>
  <c r="H108" i="7" s="1"/>
  <c r="F107" i="7" a="1"/>
  <c r="F107" i="7" s="1"/>
  <c r="L104" i="7" a="1"/>
  <c r="L104" i="7" s="1"/>
  <c r="K105" i="7" a="1"/>
  <c r="K105" i="7" s="1"/>
  <c r="N109" i="7" a="1"/>
  <c r="N109" i="7" s="1"/>
  <c r="L106" i="7" a="1"/>
  <c r="L106" i="7" s="1"/>
  <c r="H106" i="7" a="1"/>
  <c r="H106" i="7" s="1"/>
  <c r="N106" i="7" a="1"/>
  <c r="N106" i="7" s="1"/>
  <c r="F106" i="7" a="1"/>
  <c r="F106" i="7" s="1"/>
  <c r="M106" i="7" a="1"/>
  <c r="M106" i="7" s="1"/>
  <c r="E106" i="7" a="1"/>
  <c r="E106" i="7" s="1"/>
  <c r="N93" i="7"/>
  <c r="J110" i="7" a="1"/>
  <c r="J110" i="7" s="1"/>
  <c r="L110" i="7" a="1"/>
  <c r="L110" i="7" s="1"/>
  <c r="K110" i="7" a="1"/>
  <c r="K110" i="7" s="1"/>
  <c r="D104" i="7" a="1"/>
  <c r="D104" i="7" s="1"/>
  <c r="G106" i="7" a="1"/>
  <c r="G106" i="7" s="1"/>
  <c r="L107" i="7" a="1"/>
  <c r="L107" i="7" s="1"/>
  <c r="N108" i="7" a="1"/>
  <c r="N108" i="7" s="1"/>
  <c r="K109" i="7" a="1"/>
  <c r="K109" i="7" s="1"/>
  <c r="M107" i="7" a="1"/>
  <c r="M107" i="7" s="1"/>
  <c r="H104" i="7" a="1"/>
  <c r="H104" i="7" s="1"/>
  <c r="K106" i="7" a="1"/>
  <c r="K106" i="7" s="1"/>
  <c r="F105" i="7" a="1"/>
  <c r="F105" i="7" s="1"/>
  <c r="J105" i="7" a="1"/>
  <c r="J105" i="7" s="1"/>
  <c r="N105" i="7" a="1"/>
  <c r="N105" i="7" s="1"/>
  <c r="G107" i="7" a="1"/>
  <c r="G107" i="7" s="1"/>
  <c r="H109" i="7" a="1"/>
  <c r="H109" i="7" s="1"/>
  <c r="L109" i="7" a="1"/>
  <c r="L109" i="7" s="1"/>
  <c r="D105" i="7" a="1"/>
  <c r="D105" i="7" s="1"/>
  <c r="H105" i="7" a="1"/>
  <c r="H105" i="7" s="1"/>
  <c r="J109" i="7" a="1"/>
  <c r="J109" i="7" s="1"/>
  <c r="M109" i="7" l="1"/>
  <c r="L108" i="7" a="1"/>
  <c r="L108" i="7" s="1"/>
  <c r="E78" i="7"/>
  <c r="K107" i="7" a="1"/>
  <c r="K107" i="7" s="1"/>
  <c r="D78" i="7"/>
  <c r="N110" i="7" a="1"/>
  <c r="N110" i="7" s="1"/>
  <c r="G78" i="7"/>
  <c r="J106" i="7" a="1"/>
  <c r="J106" i="7" s="1"/>
  <c r="C78" i="7"/>
  <c r="N71" i="1" l="1"/>
  <c r="L61" i="7" s="1"/>
  <c r="N70" i="1"/>
  <c r="L60" i="7" s="1"/>
  <c r="N69" i="1" l="1"/>
  <c r="L59" i="7" l="1"/>
  <c r="N68" i="1"/>
  <c r="F74" i="1"/>
  <c r="F75" i="1" s="1"/>
  <c r="E74" i="1"/>
  <c r="E75" i="1" s="1"/>
  <c r="L58" i="7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L51" i="7" l="1"/>
  <c r="L35" i="7"/>
  <c r="L11" i="7"/>
  <c r="L57" i="7"/>
  <c r="L53" i="7"/>
  <c r="L49" i="7"/>
  <c r="L45" i="7"/>
  <c r="L41" i="7"/>
  <c r="L37" i="7"/>
  <c r="L33" i="7"/>
  <c r="L29" i="7"/>
  <c r="L25" i="7"/>
  <c r="L21" i="7"/>
  <c r="L17" i="7"/>
  <c r="L13" i="7"/>
  <c r="L9" i="7"/>
  <c r="L55" i="7"/>
  <c r="L43" i="7"/>
  <c r="L19" i="7"/>
  <c r="L56" i="7"/>
  <c r="L52" i="7"/>
  <c r="L48" i="7"/>
  <c r="L44" i="7"/>
  <c r="L40" i="7"/>
  <c r="L36" i="7"/>
  <c r="L32" i="7"/>
  <c r="L28" i="7"/>
  <c r="L24" i="7"/>
  <c r="L20" i="7"/>
  <c r="L16" i="7"/>
  <c r="L12" i="7"/>
  <c r="L8" i="7"/>
  <c r="L47" i="7"/>
  <c r="L39" i="7"/>
  <c r="L31" i="7"/>
  <c r="L27" i="7"/>
  <c r="L23" i="7"/>
  <c r="L15" i="7"/>
  <c r="L7" i="7"/>
  <c r="L54" i="7"/>
  <c r="L50" i="7"/>
  <c r="L46" i="7"/>
  <c r="L42" i="7"/>
  <c r="L38" i="7"/>
  <c r="L34" i="7"/>
  <c r="L30" i="7"/>
  <c r="L26" i="7"/>
  <c r="L22" i="7"/>
  <c r="L18" i="7"/>
  <c r="L14" i="7"/>
  <c r="L10" i="7"/>
  <c r="L6" i="7"/>
  <c r="N75" i="1"/>
  <c r="L65" i="7" l="1"/>
  <c r="L64" i="7"/>
  <c r="L173" i="7" l="1" a="1"/>
  <c r="L173" i="7" s="1"/>
  <c r="I168" i="7" a="1"/>
  <c r="I168" i="7" s="1"/>
  <c r="K173" i="7" a="1"/>
  <c r="K173" i="7" s="1"/>
  <c r="I169" i="7" a="1"/>
  <c r="I169" i="7" s="1"/>
  <c r="I166" i="7" a="1"/>
  <c r="I166" i="7" s="1"/>
  <c r="N173" i="7" a="1"/>
  <c r="N173" i="7" s="1"/>
  <c r="J173" i="7" a="1"/>
  <c r="J173" i="7" s="1"/>
  <c r="I172" i="7" a="1"/>
  <c r="I172" i="7" s="1"/>
  <c r="I171" i="7" a="1"/>
  <c r="I171" i="7" s="1"/>
  <c r="M173" i="7" a="1"/>
  <c r="M173" i="7" s="1"/>
  <c r="I170" i="7" a="1"/>
  <c r="I170" i="7" s="1"/>
  <c r="I110" i="7" a="1"/>
  <c r="I110" i="7" s="1"/>
  <c r="K111" i="7" a="1"/>
  <c r="K111" i="7" s="1"/>
  <c r="I107" i="7" a="1"/>
  <c r="I107" i="7" s="1"/>
  <c r="M111" i="7" a="1"/>
  <c r="M111" i="7" s="1"/>
  <c r="I108" i="7" a="1"/>
  <c r="I108" i="7" s="1"/>
  <c r="L111" i="7" a="1"/>
  <c r="L111" i="7" s="1"/>
  <c r="I106" i="7" a="1"/>
  <c r="I106" i="7" s="1"/>
  <c r="N111" i="7" a="1"/>
  <c r="N111" i="7" s="1"/>
  <c r="I104" i="7" a="1"/>
  <c r="J111" i="7" a="1"/>
  <c r="J111" i="7" s="1"/>
  <c r="I109" i="7" a="1"/>
  <c r="I109" i="7" s="1"/>
  <c r="I104" i="7" l="1"/>
  <c r="I167" i="7" a="1"/>
  <c r="I167" i="7" s="1"/>
  <c r="I105" i="7" a="1"/>
  <c r="I105" i="7" s="1"/>
  <c r="B78" i="7"/>
</calcChain>
</file>

<file path=xl/connections.xml><?xml version="1.0" encoding="utf-8"?>
<connections xmlns="http://schemas.openxmlformats.org/spreadsheetml/2006/main">
  <connection id="1" name="Age 3 pollock" type="6" refreshedVersion="6" background="1" saveData="1">
    <textPr codePage="437" sourceFile="\\nmfs.local\AKC-ABL\Users2\ellen.yasumiishi\My Documents\ECOCONS\2018\Age 3 pollock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Ianelli Table 1.30 et al 2016 pollock Model 2016" type="6" refreshedVersion="5" background="1" saveData="1">
    <textPr codePage="437" sourceFile="\\nmfs.local\AKC-ABL\Users2\ellen.yasumiishi\My Documents\ECOCONS\2017\Ianelli Table 1.30 et al 2016 pollock Model 2016.txt" space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<sst xmlns="http://schemas.openxmlformats.org/spreadsheetml/2006/main" count="85" uniqueCount="62">
  <si>
    <t xml:space="preserve">Sea surface temperature. 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</si>
  <si>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</si>
  <si>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</si>
  <si>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</si>
  <si>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</si>
  <si>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</si>
  <si>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</si>
  <si>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</si>
  <si>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</si>
  <si>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</si>
  <si>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</si>
  <si>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</si>
  <si>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</si>
  <si>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10+</t>
  </si>
  <si>
    <t>Total</t>
  </si>
  <si>
    <t>Pollock (by age)</t>
  </si>
  <si>
    <t>TCindex</t>
  </si>
  <si>
    <t>Year</t>
  </si>
  <si>
    <t>TC</t>
  </si>
  <si>
    <r>
      <rPr>
        <sz val="10"/>
        <rFont val="Times New Roman"/>
        <family val="1"/>
      </rPr>
      <t>10+</t>
    </r>
  </si>
  <si>
    <r>
      <rPr>
        <sz val="10"/>
        <rFont val="Times New Roman"/>
        <family val="1"/>
      </rPr>
      <t>Median</t>
    </r>
  </si>
  <si>
    <r>
      <rPr>
        <sz val="10"/>
        <rFont val="Times New Roman"/>
        <family val="1"/>
      </rPr>
      <t>Average</t>
    </r>
  </si>
  <si>
    <t>age-1</t>
  </si>
  <si>
    <t>Age-3</t>
  </si>
  <si>
    <t>TC index3</t>
  </si>
  <si>
    <t>age-2</t>
  </si>
  <si>
    <t>Age-2</t>
  </si>
  <si>
    <t>TC index2</t>
  </si>
  <si>
    <t>TC index1</t>
  </si>
  <si>
    <t>Significance</t>
  </si>
  <si>
    <t>Age-1</t>
  </si>
  <si>
    <t>Age-4</t>
  </si>
  <si>
    <t>Age-5</t>
  </si>
  <si>
    <t>Age-6</t>
  </si>
  <si>
    <t>Correlations</t>
  </si>
  <si>
    <t>TC index4</t>
  </si>
  <si>
    <t>TCindex5</t>
  </si>
  <si>
    <t>TCindex6</t>
  </si>
  <si>
    <t>Avg</t>
  </si>
  <si>
    <t>SD</t>
  </si>
  <si>
    <t>age-3 (yr)</t>
  </si>
  <si>
    <t>TC index (yr-2)</t>
  </si>
  <si>
    <t>Age-3 (yr)</t>
  </si>
  <si>
    <t>Linear Correlation Matrix</t>
  </si>
  <si>
    <t>Table</t>
  </si>
  <si>
    <t>Estimates</t>
  </si>
  <si>
    <t>millions</t>
  </si>
  <si>
    <t>of</t>
  </si>
  <si>
    <t>EBS</t>
  </si>
  <si>
    <t>pollock</t>
  </si>
  <si>
    <t>at</t>
  </si>
  <si>
    <t>age</t>
  </si>
  <si>
    <t>from</t>
  </si>
  <si>
    <t>the</t>
  </si>
  <si>
    <t>model.</t>
  </si>
  <si>
    <t>year</t>
  </si>
  <si>
    <t>Median</t>
  </si>
  <si>
    <t>Average</t>
  </si>
  <si>
    <t>2017 model</t>
  </si>
  <si>
    <t>Tabl 1. Ecosystem Status Report</t>
  </si>
  <si>
    <t>1964-2017</t>
  </si>
  <si>
    <t>1996-2017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</si>
</sst>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0;###0"/>
    <numFmt numFmtId="165" formatCode="#,##0;#,##0"/>
    <numFmt numFmtId="166" formatCode="###0.00;#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2"/>
    </font>
    <font>
      <sz val="1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vertical="top" wrapText="1"/>
    </xf>
    <xf numFmtId="164" fontId="2" fillId="0" borderId="1" xfId="0" applyNumberFormat="1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164" fontId="2" fillId="0" borderId="2" xfId="0" applyNumberFormat="1" applyFont="1" applyFill="1" applyBorder="1" applyAlignment="1">
      <alignment vertical="top" wrapText="1"/>
    </xf>
    <xf numFmtId="165" fontId="2" fillId="0" borderId="2" xfId="0" applyNumberFormat="1" applyFont="1" applyFill="1" applyBorder="1" applyAlignment="1">
      <alignment vertical="top" wrapText="1"/>
    </xf>
    <xf numFmtId="164" fontId="2" fillId="0" borderId="0" xfId="0" applyNumberFormat="1" applyFont="1" applyFill="1" applyBorder="1" applyAlignment="1">
      <alignment vertical="top" wrapText="1"/>
    </xf>
    <xf numFmtId="164" fontId="2" fillId="0" borderId="3" xfId="0" applyNumberFormat="1" applyFont="1" applyFill="1" applyBorder="1" applyAlignment="1">
      <alignment vertical="top" wrapText="1"/>
    </xf>
    <xf numFmtId="165" fontId="2" fillId="0" borderId="3" xfId="0" applyNumberFormat="1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2" fontId="2" fillId="0" borderId="0" xfId="0" applyNumberFormat="1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166" fontId="2" fillId="0" borderId="2" xfId="0" applyNumberFormat="1" applyFont="1" applyFill="1" applyBorder="1" applyAlignment="1">
      <alignment vertical="top" wrapText="1"/>
    </xf>
    <xf numFmtId="166" fontId="2" fillId="0" borderId="0" xfId="0" applyNumberFormat="1" applyFont="1" applyFill="1" applyBorder="1" applyAlignment="1">
      <alignment vertical="top" wrapText="1"/>
    </xf>
    <xf numFmtId="0" fontId="0" fillId="0" borderId="0" xfId="0" applyBorder="1"/>
    <xf numFmtId="4" fontId="0" fillId="0" borderId="0" xfId="0" applyNumberFormat="1"/>
    <xf numFmtId="0" fontId="0" fillId="0" borderId="2" xfId="0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9" fontId="0" fillId="0" borderId="0" xfId="0" applyNumberFormat="1"/>
    <xf numFmtId="3" fontId="0" fillId="0" borderId="0" xfId="0" applyNumberFormat="1"/>
    <xf numFmtId="0" fontId="0" fillId="2" borderId="6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4" fontId="0" fillId="2" borderId="5" xfId="0" applyNumberFormat="1" applyFill="1" applyBorder="1"/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4" fontId="1" fillId="2" borderId="0" xfId="0" applyNumberFormat="1" applyFont="1" applyFill="1" applyBorder="1"/>
    <xf numFmtId="0" fontId="0" fillId="3" borderId="0" xfId="0" applyFill="1"/>
    <xf numFmtId="2" fontId="2" fillId="0" borderId="7" xfId="0" applyNumberFormat="1" applyFont="1" applyFill="1" applyBorder="1" applyAlignment="1">
      <alignment vertical="top" wrapText="1"/>
    </xf>
    <xf numFmtId="0" fontId="0" fillId="0" borderId="8" xfId="0" applyBorder="1"/>
    <xf numFmtId="2" fontId="2" fillId="0" borderId="9" xfId="0" applyNumberFormat="1" applyFont="1" applyFill="1" applyBorder="1" applyAlignment="1">
      <alignment vertical="top" wrapText="1"/>
    </xf>
    <xf numFmtId="0" fontId="0" fillId="0" borderId="10" xfId="0" applyBorder="1"/>
    <xf numFmtId="4" fontId="0" fillId="3" borderId="0" xfId="0" applyNumberFormat="1" applyFill="1"/>
    <xf numFmtId="4" fontId="0" fillId="2" borderId="0" xfId="0" applyNumberFormat="1" applyFont="1" applyFill="1" applyBorder="1"/>
    <xf numFmtId="4" fontId="0" fillId="2" borderId="5" xfId="0" applyNumberFormat="1" applyFont="1" applyFill="1" applyBorder="1"/>
    <xf numFmtId="4" fontId="1" fillId="2" borderId="5" xfId="0" applyNumberFormat="1" applyFont="1" applyFill="1" applyBorder="1"/>
  </cellXfs>
  <cellStyles count="1">
    <cellStyle name="Normal" xfId="0" builtinId="0"/>
  </cellStyles>
  <dxfs count="156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641382327209126"/>
          <c:y val="9.7468481179736943E-2"/>
          <c:w val="0.80239720034995621"/>
          <c:h val="0.726792707061349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data'!$N$2</c:f>
              <c:strCache>
                <c:ptCount val="1"/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invertIfNegative val="0"/>
          <c:cat>
            <c:numRef>
              <c:f>'All data'!$A$5:$A$73</c:f>
              <c:numCache>
                <c:formatCode>General</c:formatCode>
                <c:ptCount val="6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</c:numCache>
            </c:numRef>
          </c:cat>
          <c:val>
            <c:numRef>
              <c:f>'All data'!$N$5:$N$73</c:f>
              <c:numCache>
                <c:formatCode>General</c:formatCode>
                <c:ptCount val="69"/>
                <c:pt idx="0">
                  <c:v>-5.9429999999999996</c:v>
                </c:pt>
                <c:pt idx="1">
                  <c:v>-5.1140000000000008</c:v>
                </c:pt>
                <c:pt idx="2">
                  <c:v>-6.3309999999999995</c:v>
                </c:pt>
                <c:pt idx="3">
                  <c:v>-3.5229999999999997</c:v>
                </c:pt>
                <c:pt idx="4">
                  <c:v>-4.5419999999999998</c:v>
                </c:pt>
                <c:pt idx="5">
                  <c:v>-5.4140000000000006</c:v>
                </c:pt>
                <c:pt idx="6">
                  <c:v>-4.6559999999999997</c:v>
                </c:pt>
                <c:pt idx="7">
                  <c:v>-2.9420000000000002</c:v>
                </c:pt>
                <c:pt idx="8">
                  <c:v>-4.2759999999999998</c:v>
                </c:pt>
                <c:pt idx="9">
                  <c:v>-4.01</c:v>
                </c:pt>
                <c:pt idx="10">
                  <c:v>-4.0090000000000003</c:v>
                </c:pt>
                <c:pt idx="11">
                  <c:v>-3.9120000000000008</c:v>
                </c:pt>
                <c:pt idx="12">
                  <c:v>-4.0680000000000005</c:v>
                </c:pt>
                <c:pt idx="13">
                  <c:v>-4.3649999999999993</c:v>
                </c:pt>
                <c:pt idx="14">
                  <c:v>-4.3089999999999993</c:v>
                </c:pt>
                <c:pt idx="15">
                  <c:v>-3.9940000000000007</c:v>
                </c:pt>
                <c:pt idx="16">
                  <c:v>-3.8880000000000008</c:v>
                </c:pt>
                <c:pt idx="17">
                  <c:v>-3.4719999999999995</c:v>
                </c:pt>
                <c:pt idx="18">
                  <c:v>-4.1960000000000006</c:v>
                </c:pt>
                <c:pt idx="19">
                  <c:v>-4.1840000000000002</c:v>
                </c:pt>
                <c:pt idx="20">
                  <c:v>-4.53</c:v>
                </c:pt>
                <c:pt idx="21">
                  <c:v>-4.5880000000000001</c:v>
                </c:pt>
                <c:pt idx="22">
                  <c:v>-3.9180000000000001</c:v>
                </c:pt>
                <c:pt idx="23">
                  <c:v>-3.8280000000000003</c:v>
                </c:pt>
                <c:pt idx="24">
                  <c:v>-3.6980000000000004</c:v>
                </c:pt>
                <c:pt idx="25">
                  <c:v>-5.254999999999999</c:v>
                </c:pt>
                <c:pt idx="26">
                  <c:v>-4.080000000000001</c:v>
                </c:pt>
                <c:pt idx="27">
                  <c:v>-2.7060000000000004</c:v>
                </c:pt>
                <c:pt idx="28">
                  <c:v>-4.6759999999999993</c:v>
                </c:pt>
                <c:pt idx="29">
                  <c:v>-3.338000000000001</c:v>
                </c:pt>
                <c:pt idx="30">
                  <c:v>-4.7869999999999999</c:v>
                </c:pt>
                <c:pt idx="31">
                  <c:v>-3.262999999999999</c:v>
                </c:pt>
                <c:pt idx="32">
                  <c:v>-5.6909999999999998</c:v>
                </c:pt>
                <c:pt idx="33">
                  <c:v>-1.6980000000000004</c:v>
                </c:pt>
                <c:pt idx="34">
                  <c:v>-4.5990000000000002</c:v>
                </c:pt>
                <c:pt idx="35">
                  <c:v>-6.2210000000000001</c:v>
                </c:pt>
                <c:pt idx="36">
                  <c:v>-4.3039999999999994</c:v>
                </c:pt>
                <c:pt idx="37">
                  <c:v>-4.3159999999999989</c:v>
                </c:pt>
                <c:pt idx="38">
                  <c:v>-5.4089999999999998</c:v>
                </c:pt>
                <c:pt idx="39">
                  <c:v>-5.4909999999999997</c:v>
                </c:pt>
                <c:pt idx="40">
                  <c:v>-5.0629999999999997</c:v>
                </c:pt>
                <c:pt idx="41">
                  <c:v>-5.4340000000000002</c:v>
                </c:pt>
                <c:pt idx="42">
                  <c:v>-5.1300000000000008</c:v>
                </c:pt>
                <c:pt idx="43">
                  <c:v>-2.9620000000000006</c:v>
                </c:pt>
                <c:pt idx="44">
                  <c:v>-5.6870000000000012</c:v>
                </c:pt>
                <c:pt idx="45">
                  <c:v>-4.2039999999999997</c:v>
                </c:pt>
                <c:pt idx="46">
                  <c:v>-4.3389999999999995</c:v>
                </c:pt>
                <c:pt idx="47">
                  <c:v>-2.5919999999999996</c:v>
                </c:pt>
                <c:pt idx="48">
                  <c:v>-6.822000000000001</c:v>
                </c:pt>
                <c:pt idx="49">
                  <c:v>-6.7829999999999995</c:v>
                </c:pt>
                <c:pt idx="50">
                  <c:v>-3.274</c:v>
                </c:pt>
                <c:pt idx="51">
                  <c:v>-3.907</c:v>
                </c:pt>
                <c:pt idx="52">
                  <c:v>-3.9580000000000002</c:v>
                </c:pt>
                <c:pt idx="53">
                  <c:v>-4.8</c:v>
                </c:pt>
                <c:pt idx="54">
                  <c:v>-4.9380000000000006</c:v>
                </c:pt>
                <c:pt idx="55">
                  <c:v>-5.3960000000000008</c:v>
                </c:pt>
                <c:pt idx="56">
                  <c:v>-6.8689999999999989</c:v>
                </c:pt>
                <c:pt idx="57">
                  <c:v>-4.6870000000000003</c:v>
                </c:pt>
                <c:pt idx="58">
                  <c:v>-7.1429999999999989</c:v>
                </c:pt>
                <c:pt idx="59">
                  <c:v>-5.5010000000000012</c:v>
                </c:pt>
                <c:pt idx="60">
                  <c:v>-6.0019999999999998</c:v>
                </c:pt>
                <c:pt idx="61">
                  <c:v>-4.2309999999999999</c:v>
                </c:pt>
                <c:pt idx="62">
                  <c:v>-5.556</c:v>
                </c:pt>
                <c:pt idx="63">
                  <c:v>-3.8920000000000003</c:v>
                </c:pt>
                <c:pt idx="64">
                  <c:v>-3.8390000000000004</c:v>
                </c:pt>
                <c:pt idx="65">
                  <c:v>-5.9559999999999995</c:v>
                </c:pt>
                <c:pt idx="66">
                  <c:v>-3.1899999999999995</c:v>
                </c:pt>
                <c:pt idx="67">
                  <c:v>-6.6059999999999999</c:v>
                </c:pt>
                <c:pt idx="68">
                  <c:v>-4.0620000000000003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A-436A-A14A-87987A29A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34777328"/>
        <c:axId val="275016336"/>
      </c:barChart>
      <c:catAx>
        <c:axId val="234777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spPr>
          <a:ln>
            <a:solidFill>
              <a:sysClr val="windowText" lastClr="000000"/>
            </a:solidFill>
          </a:ln>
        </c:spPr>
        <c:crossAx val="2750163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750163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Change index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34777328"/>
        <c:crosses val="autoZero"/>
        <c:crossBetween val="between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600"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123510014294771E-2"/>
          <c:y val="5.1400554097404488E-2"/>
          <c:w val="0.87355639791604756"/>
          <c:h val="0.7773156460135028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'2017 Ianelli'!$Q$4</c:f>
              <c:strCache>
                <c:ptCount val="1"/>
                <c:pt idx="0">
                  <c:v>Age-3 (yr)</c:v>
                </c:pt>
              </c:strCache>
            </c:strRef>
          </c:tx>
          <c:invertIfNegative val="0"/>
          <c:val>
            <c:numRef>
              <c:f>'2017 Ianelli'!$Q$5:$Q$63</c:f>
              <c:numCache>
                <c:formatCode>General</c:formatCode>
                <c:ptCount val="59"/>
                <c:pt idx="4" formatCode="###0.00;###0.00">
                  <c:v>-0.97632214694304642</c:v>
                </c:pt>
                <c:pt idx="5" formatCode="###0.00;###0.00">
                  <c:v>-0.97915968170811218</c:v>
                </c:pt>
                <c:pt idx="6" formatCode="###0.00;###0.00">
                  <c:v>-1.1323865590216713</c:v>
                </c:pt>
                <c:pt idx="7" formatCode="###0.00;###0.00">
                  <c:v>-6.5473487356890805E-2</c:v>
                </c:pt>
                <c:pt idx="8" formatCode="###0.00;###0.00">
                  <c:v>-0.51664151500236977</c:v>
                </c:pt>
                <c:pt idx="9" formatCode="###0.00;###0.00">
                  <c:v>0.22395505867983137</c:v>
                </c:pt>
                <c:pt idx="10" formatCode="###0.00;###0.00">
                  <c:v>-3.142307017610016E-2</c:v>
                </c:pt>
                <c:pt idx="11" formatCode="###0.00;###0.00">
                  <c:v>0.20692985008943607</c:v>
                </c:pt>
                <c:pt idx="12" formatCode="###0.00;###0.00">
                  <c:v>-2.2910465880902377E-2</c:v>
                </c:pt>
                <c:pt idx="13" formatCode="###0.00;###0.00">
                  <c:v>-0.66135578802073103</c:v>
                </c:pt>
                <c:pt idx="14" formatCode="###0.00;###0.00">
                  <c:v>-0.85430815204521249</c:v>
                </c:pt>
                <c:pt idx="15" formatCode="###0.00;###0.00">
                  <c:v>3.6677764185481618E-2</c:v>
                </c:pt>
                <c:pt idx="16" formatCode="###0.00;###0.00">
                  <c:v>-0.3236891509778882</c:v>
                </c:pt>
                <c:pt idx="17" formatCode="###0.00;###0.00">
                  <c:v>-0.48826616735171069</c:v>
                </c:pt>
                <c:pt idx="18" formatCode="###0.00;###0.00">
                  <c:v>-0.73229415714737855</c:v>
                </c:pt>
                <c:pt idx="19" formatCode="###0.00;###0.00">
                  <c:v>-0.69256867043645587</c:v>
                </c:pt>
                <c:pt idx="20" formatCode="###0.00;###0.00">
                  <c:v>0.11045366807719509</c:v>
                </c:pt>
                <c:pt idx="21" formatCode="###0.00;###0.00">
                  <c:v>2.6415346785159826</c:v>
                </c:pt>
                <c:pt idx="22" formatCode="###0.00;###0.00">
                  <c:v>0.32326877545713795</c:v>
                </c:pt>
                <c:pt idx="23" formatCode="###0.00;###0.00">
                  <c:v>0.64107266914451932</c:v>
                </c:pt>
                <c:pt idx="24" formatCode="###0.00;###0.00">
                  <c:v>-0.36341463768881099</c:v>
                </c:pt>
                <c:pt idx="25" formatCode="###0.00;###0.00">
                  <c:v>2.1194282817438559</c:v>
                </c:pt>
                <c:pt idx="26" formatCode="###0.00;###0.00">
                  <c:v>-0.5506919321831607</c:v>
                </c:pt>
                <c:pt idx="27" formatCode="###0.00;###0.00">
                  <c:v>0.91915107612097791</c:v>
                </c:pt>
                <c:pt idx="28" formatCode="###0.00;###0.00">
                  <c:v>-0.55636700171329245</c:v>
                </c:pt>
                <c:pt idx="29" formatCode="###0.00;###0.00">
                  <c:v>-1.0387479117744964</c:v>
                </c:pt>
                <c:pt idx="30" formatCode="###0.00;###0.00">
                  <c:v>-1.1777871152627257</c:v>
                </c:pt>
                <c:pt idx="31" formatCode="###0.00;###0.00">
                  <c:v>-0.7890448524486966</c:v>
                </c:pt>
                <c:pt idx="32" formatCode="###0.00;###0.00">
                  <c:v>1.9491761958399016</c:v>
                </c:pt>
                <c:pt idx="33" formatCode="###0.00;###0.00">
                  <c:v>0.2438178020352928</c:v>
                </c:pt>
                <c:pt idx="34" formatCode="###0.00;###0.00">
                  <c:v>3.1002694655349928E-2</c:v>
                </c:pt>
                <c:pt idx="35" formatCode="###0.00;###0.00">
                  <c:v>1.7704115056407494</c:v>
                </c:pt>
                <c:pt idx="36" formatCode="###0.00;###0.00">
                  <c:v>-0.4684034239962494</c:v>
                </c:pt>
                <c:pt idx="37" formatCode="###0.00;###0.00">
                  <c:v>-0.82593280439455341</c:v>
                </c:pt>
                <c:pt idx="38" formatCode="###0.00;###0.00">
                  <c:v>5.9378042306008877E-2</c:v>
                </c:pt>
                <c:pt idx="39" formatCode="###0.00;###0.00">
                  <c:v>0.66944801679517851</c:v>
                </c:pt>
                <c:pt idx="40" formatCode="###0.00;###0.00">
                  <c:v>-0.47691602829144708</c:v>
                </c:pt>
                <c:pt idx="41" formatCode="###0.00;###0.00">
                  <c:v>-0.39178998533946996</c:v>
                </c:pt>
                <c:pt idx="42" formatCode="###0.00;###0.00">
                  <c:v>0.27503068445101758</c:v>
                </c:pt>
                <c:pt idx="43" formatCode="###0.00;###0.00">
                  <c:v>0.96171409759696658</c:v>
                </c:pt>
                <c:pt idx="44" formatCode="###0.00;###0.00">
                  <c:v>0.12464134190252481</c:v>
                </c:pt>
                <c:pt idx="45" formatCode="###0.00;###0.00">
                  <c:v>-0.53934179312289698</c:v>
                </c:pt>
                <c:pt idx="46" formatCode="###0.00;###0.00">
                  <c:v>-1.1153613504312756</c:v>
                </c:pt>
                <c:pt idx="47" formatCode="###0.00;###0.00">
                  <c:v>-1.2515630191544391</c:v>
                </c:pt>
                <c:pt idx="48" formatCode="###0.00;###0.00">
                  <c:v>-0.72378155285218082</c:v>
                </c:pt>
                <c:pt idx="49" formatCode="###0.00;###0.00">
                  <c:v>0.28070575398114955</c:v>
                </c:pt>
                <c:pt idx="50" formatCode="###0.00;###0.00">
                  <c:v>-0.57055467553862194</c:v>
                </c:pt>
                <c:pt idx="51" formatCode="###0.00;###0.00">
                  <c:v>2.3549436672443256</c:v>
                </c:pt>
                <c:pt idx="52" formatCode="###0.00;###0.00">
                  <c:v>-8.7227920555729022E-3</c:v>
                </c:pt>
                <c:pt idx="53" formatCode="###0.00;###0.00">
                  <c:v>-0.65851825325566504</c:v>
                </c:pt>
                <c:pt idx="54" formatCode="###0.00;###0.00">
                  <c:v>-0.78620731768363084</c:v>
                </c:pt>
                <c:pt idx="55" formatCode="###0.00;###0.00">
                  <c:v>2.8259744382452658</c:v>
                </c:pt>
                <c:pt idx="56" formatCode="###0.00;###0.00">
                  <c:v>1.3305936170555344</c:v>
                </c:pt>
                <c:pt idx="57" formatCode="###0.00;###0.00">
                  <c:v>-0.32936422050802011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F-4900-8F61-CF3FA31F4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497240"/>
        <c:axId val="280497632"/>
      </c:barChart>
      <c:lineChart>
        <c:grouping val="standard"/>
        <c:varyColors val="0"/>
        <c:ser>
          <c:idx val="0"/>
          <c:order val="0"/>
          <c:tx>
            <c:strRef>
              <c:f>'2017 Ianelli'!$U$2</c:f>
              <c:strCache>
                <c:ptCount val="1"/>
                <c:pt idx="0">
                  <c:v>TC index (yr-2)</c:v>
                </c:pt>
              </c:strCache>
            </c:strRef>
          </c:tx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cat>
            <c:numRef>
              <c:f>'2017 Ianelli'!$N$5:$N$63</c:f>
              <c:numCache>
                <c:formatCode>General</c:formatCode>
                <c:ptCount val="59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 formatCode="###0;###0">
                  <c:v>1964</c:v>
                </c:pt>
                <c:pt idx="5" formatCode="###0;###0">
                  <c:v>1965</c:v>
                </c:pt>
                <c:pt idx="6" formatCode="###0;###0">
                  <c:v>1966</c:v>
                </c:pt>
                <c:pt idx="7" formatCode="###0;###0">
                  <c:v>1967</c:v>
                </c:pt>
                <c:pt idx="8" formatCode="###0;###0">
                  <c:v>1968</c:v>
                </c:pt>
                <c:pt idx="9" formatCode="###0;###0">
                  <c:v>1969</c:v>
                </c:pt>
                <c:pt idx="10" formatCode="###0;###0">
                  <c:v>1970</c:v>
                </c:pt>
                <c:pt idx="11" formatCode="###0;###0">
                  <c:v>1971</c:v>
                </c:pt>
                <c:pt idx="12" formatCode="###0;###0">
                  <c:v>1972</c:v>
                </c:pt>
                <c:pt idx="13" formatCode="###0;###0">
                  <c:v>1973</c:v>
                </c:pt>
                <c:pt idx="14" formatCode="###0;###0">
                  <c:v>1974</c:v>
                </c:pt>
                <c:pt idx="15" formatCode="###0;###0">
                  <c:v>1975</c:v>
                </c:pt>
                <c:pt idx="16" formatCode="###0;###0">
                  <c:v>1976</c:v>
                </c:pt>
                <c:pt idx="17" formatCode="###0;###0">
                  <c:v>1977</c:v>
                </c:pt>
                <c:pt idx="18" formatCode="###0;###0">
                  <c:v>1978</c:v>
                </c:pt>
                <c:pt idx="19" formatCode="###0;###0">
                  <c:v>1979</c:v>
                </c:pt>
                <c:pt idx="20" formatCode="###0;###0">
                  <c:v>1980</c:v>
                </c:pt>
                <c:pt idx="21" formatCode="###0;###0">
                  <c:v>1981</c:v>
                </c:pt>
                <c:pt idx="22" formatCode="###0;###0">
                  <c:v>1982</c:v>
                </c:pt>
                <c:pt idx="23" formatCode="###0;###0">
                  <c:v>1983</c:v>
                </c:pt>
                <c:pt idx="24" formatCode="###0;###0">
                  <c:v>1984</c:v>
                </c:pt>
                <c:pt idx="25" formatCode="###0;###0">
                  <c:v>1985</c:v>
                </c:pt>
                <c:pt idx="26" formatCode="###0;###0">
                  <c:v>1986</c:v>
                </c:pt>
                <c:pt idx="27" formatCode="###0;###0">
                  <c:v>1987</c:v>
                </c:pt>
                <c:pt idx="28" formatCode="###0;###0">
                  <c:v>1988</c:v>
                </c:pt>
                <c:pt idx="29" formatCode="###0;###0">
                  <c:v>1989</c:v>
                </c:pt>
                <c:pt idx="30" formatCode="###0;###0">
                  <c:v>1990</c:v>
                </c:pt>
                <c:pt idx="31" formatCode="###0;###0">
                  <c:v>1991</c:v>
                </c:pt>
                <c:pt idx="32" formatCode="###0;###0">
                  <c:v>1992</c:v>
                </c:pt>
                <c:pt idx="33" formatCode="###0;###0">
                  <c:v>1993</c:v>
                </c:pt>
                <c:pt idx="34" formatCode="###0;###0">
                  <c:v>1994</c:v>
                </c:pt>
                <c:pt idx="35" formatCode="###0;###0">
                  <c:v>1995</c:v>
                </c:pt>
                <c:pt idx="36" formatCode="###0;###0">
                  <c:v>1996</c:v>
                </c:pt>
                <c:pt idx="37" formatCode="###0;###0">
                  <c:v>1997</c:v>
                </c:pt>
                <c:pt idx="38" formatCode="###0;###0">
                  <c:v>1998</c:v>
                </c:pt>
                <c:pt idx="39" formatCode="###0;###0">
                  <c:v>1999</c:v>
                </c:pt>
                <c:pt idx="40" formatCode="###0;###0">
                  <c:v>2000</c:v>
                </c:pt>
                <c:pt idx="41" formatCode="###0;###0">
                  <c:v>2001</c:v>
                </c:pt>
                <c:pt idx="42" formatCode="###0;###0">
                  <c:v>2002</c:v>
                </c:pt>
                <c:pt idx="43" formatCode="###0;###0">
                  <c:v>2003</c:v>
                </c:pt>
                <c:pt idx="44" formatCode="###0;###0">
                  <c:v>2004</c:v>
                </c:pt>
                <c:pt idx="45" formatCode="###0;###0">
                  <c:v>2005</c:v>
                </c:pt>
                <c:pt idx="46" formatCode="###0;###0">
                  <c:v>2006</c:v>
                </c:pt>
                <c:pt idx="47" formatCode="###0;###0">
                  <c:v>2007</c:v>
                </c:pt>
                <c:pt idx="48" formatCode="###0;###0">
                  <c:v>2008</c:v>
                </c:pt>
                <c:pt idx="49" formatCode="###0;###0">
                  <c:v>2009</c:v>
                </c:pt>
                <c:pt idx="50" formatCode="###0;###0">
                  <c:v>2010</c:v>
                </c:pt>
                <c:pt idx="51" formatCode="###0;###0">
                  <c:v>2011</c:v>
                </c:pt>
                <c:pt idx="52" formatCode="###0;###0">
                  <c:v>2012</c:v>
                </c:pt>
                <c:pt idx="53" formatCode="###0;###0">
                  <c:v>2013</c:v>
                </c:pt>
                <c:pt idx="54" formatCode="###0;###0">
                  <c:v>2014</c:v>
                </c:pt>
                <c:pt idx="55" formatCode="###0;###0">
                  <c:v>2015</c:v>
                </c:pt>
                <c:pt idx="56">
                  <c:v>2016</c:v>
                </c:pt>
                <c:pt idx="57" formatCode="###0;###0">
                  <c:v>2017</c:v>
                </c:pt>
                <c:pt idx="58" formatCode="###0;###0">
                  <c:v>2018</c:v>
                </c:pt>
              </c:numCache>
            </c:numRef>
          </c:cat>
          <c:val>
            <c:numRef>
              <c:f>'2017 Ianelli'!$U$3:$U$63</c:f>
              <c:numCache>
                <c:formatCode>General</c:formatCode>
                <c:ptCount val="61"/>
                <c:pt idx="4" formatCode="###0.00;###0.00">
                  <c:v>0.44909182994411007</c:v>
                </c:pt>
                <c:pt idx="5" formatCode="###0.00;###0.00">
                  <c:v>0.18829366851009488</c:v>
                </c:pt>
                <c:pt idx="6" formatCode="###0.00;###0.00">
                  <c:v>0.23746773261886567</c:v>
                </c:pt>
                <c:pt idx="7" formatCode="###0.00;###0.00">
                  <c:v>0.51407184323069988</c:v>
                </c:pt>
                <c:pt idx="8" formatCode="###0.00;###0.00">
                  <c:v>0.60715132172230146</c:v>
                </c:pt>
                <c:pt idx="9" formatCode="###0.00;###0.00">
                  <c:v>0.9724443693874566</c:v>
                </c:pt>
                <c:pt idx="10" formatCode="###0.00;###0.00">
                  <c:v>0.33669396912406258</c:v>
                </c:pt>
                <c:pt idx="11" formatCode="###0.00;###0.00">
                  <c:v>0.34723126857594244</c:v>
                </c:pt>
                <c:pt idx="12" formatCode="###0.00;###0.00">
                  <c:v>4.3405801046751721E-2</c:v>
                </c:pt>
                <c:pt idx="13" formatCode="###0.00;###0.00">
                  <c:v>-7.5244796373321069E-3</c:v>
                </c:pt>
                <c:pt idx="14" formatCode="###0.00;###0.00">
                  <c:v>0.58080807309260341</c:v>
                </c:pt>
                <c:pt idx="15" formatCode="###0.00;###0.00">
                  <c:v>0.65983781898169913</c:v>
                </c:pt>
                <c:pt idx="16" formatCode="###0.00;###0.00">
                  <c:v>0.77399189637705967</c:v>
                </c:pt>
                <c:pt idx="17" formatCode="###0.00;###0.00">
                  <c:v>-0.59322270750429695</c:v>
                </c:pt>
                <c:pt idx="18" formatCode="###0.00;###0.00">
                  <c:v>0.43855453049223025</c:v>
                </c:pt>
                <c:pt idx="19" formatCode="###0.00;###0.00">
                  <c:v>1.6450753177324271</c:v>
                </c:pt>
                <c:pt idx="20" formatCode="###0.00;###0.00">
                  <c:v>-8.4798008951113987E-2</c:v>
                </c:pt>
                <c:pt idx="21" formatCode="###0.00;###0.00">
                  <c:v>1.0901108799334425</c:v>
                </c:pt>
                <c:pt idx="22" formatCode="###0.00;###0.00">
                  <c:v>-0.18226802888099941</c:v>
                </c:pt>
                <c:pt idx="23" formatCode="###0.00;###0.00">
                  <c:v>1.1559690015076907</c:v>
                </c:pt>
                <c:pt idx="24" formatCode="###0.00;###0.00">
                  <c:v>-0.97607792092258405</c:v>
                </c:pt>
                <c:pt idx="25" formatCode="###0.00;###0.00">
                  <c:v>2.5302084716903002</c:v>
                </c:pt>
                <c:pt idx="26" formatCode="###0.00;###0.00">
                  <c:v>-1.7183670801555036E-2</c:v>
                </c:pt>
                <c:pt idx="27" formatCode="###0.00;###0.00">
                  <c:v>-1.4414753133805931</c:v>
                </c:pt>
                <c:pt idx="28" formatCode="###0.00;###0.00">
                  <c:v>0.24185827405714869</c:v>
                </c:pt>
                <c:pt idx="29" formatCode="###0.00;###0.00">
                  <c:v>0.2313209746052696</c:v>
                </c:pt>
                <c:pt idx="30" formatCode="###0.00;###0.00">
                  <c:v>-0.72845138380341712</c:v>
                </c:pt>
                <c:pt idx="31" formatCode="###0.00;###0.00">
                  <c:v>-0.80045626339125986</c:v>
                </c:pt>
                <c:pt idx="32" formatCode="###0.00;###0.00">
                  <c:v>-0.42462591627422647</c:v>
                </c:pt>
                <c:pt idx="33" formatCode="###0.00;###0.00">
                  <c:v>-0.75040409099483296</c:v>
                </c:pt>
                <c:pt idx="34" formatCode="###0.00;###0.00">
                  <c:v>-0.48345917154722096</c:v>
                </c:pt>
                <c:pt idx="35" formatCode="###0.00;###0.00">
                  <c:v>1.420279596092332</c:v>
                </c:pt>
                <c:pt idx="36" formatCode="###0.00;###0.00">
                  <c:v>-0.97256548777195884</c:v>
                </c:pt>
                <c:pt idx="37" formatCode="###0.00;###0.00">
                  <c:v>0.32966910282281037</c:v>
                </c:pt>
                <c:pt idx="38" formatCode="###0.00;###0.00">
                  <c:v>0.21112448398916683</c:v>
                </c:pt>
                <c:pt idx="39" formatCode="###0.00;###0.00">
                  <c:v>1.7451796625252824</c:v>
                </c:pt>
                <c:pt idx="40" formatCode="###0.00;###0.00">
                  <c:v>-1.9692183942622226</c:v>
                </c:pt>
                <c:pt idx="41" formatCode="###0.00;###0.00">
                  <c:v>-1.9349721710436132</c:v>
                </c:pt>
                <c:pt idx="42" formatCode="###0.00;###0.00">
                  <c:v>1.146309810343467</c:v>
                </c:pt>
                <c:pt idx="43" formatCode="###0.00;###0.00">
                  <c:v>0.59046726425682639</c:v>
                </c:pt>
                <c:pt idx="44" formatCode="###0.00;###0.00">
                  <c:v>0.54568374158633859</c:v>
                </c:pt>
                <c:pt idx="45" formatCode="###0.00;###0.00">
                  <c:v>-0.19368343662053539</c:v>
                </c:pt>
                <c:pt idx="46" formatCode="###0.00;###0.00">
                  <c:v>-0.31486238031714969</c:v>
                </c:pt>
                <c:pt idx="47" formatCode="###0.00;###0.00">
                  <c:v>-0.71703597606388192</c:v>
                </c:pt>
                <c:pt idx="48" formatCode="###0.00;###0.00">
                  <c:v>-2.0104894837820821</c:v>
                </c:pt>
                <c:pt idx="49" formatCode="###0.00;###0.00">
                  <c:v>-9.4457200115337689E-2</c:v>
                </c:pt>
                <c:pt idx="50" formatCode="###0.00;###0.00">
                  <c:v>-2.2510911545999961</c:v>
                </c:pt>
                <c:pt idx="51" formatCode="###0.00;###0.00">
                  <c:v>-0.80923734626782751</c:v>
                </c:pt>
                <c:pt idx="52" formatCode="###0.00;###0.00">
                  <c:v>-1.2491695983837929</c:v>
                </c:pt>
                <c:pt idx="53" formatCode="###0.00;###0.00">
                  <c:v>0.30596017905608153</c:v>
                </c:pt>
                <c:pt idx="54" formatCode="###0.00;###0.00">
                  <c:v>-0.85753330208894052</c:v>
                </c:pt>
                <c:pt idx="55" formatCode="###0.00;###0.00">
                  <c:v>0.60363888857167536</c:v>
                </c:pt>
                <c:pt idx="56" formatCode="###0.00;###0.00">
                  <c:v>0.65017862781747626</c:v>
                </c:pt>
                <c:pt idx="57" formatCode="###0.00;###0.00">
                  <c:v>-1.2087766171515881</c:v>
                </c:pt>
                <c:pt idx="58" formatCode="###0.00;###0.00">
                  <c:v>1.2200709065066235</c:v>
                </c:pt>
                <c:pt idx="59" formatCode="###0.00;###0.00">
                  <c:v>-1.7795470041283916</c:v>
                </c:pt>
                <c:pt idx="60" formatCode="###0.00;###0.00">
                  <c:v>0.45436047967005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8F-4900-8F61-CF3FA31F4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497240"/>
        <c:axId val="280497632"/>
      </c:lineChart>
      <c:catAx>
        <c:axId val="280497240"/>
        <c:scaling>
          <c:orientation val="minMax"/>
        </c:scaling>
        <c:delete val="0"/>
        <c:axPos val="b"/>
        <c:majorGridlines>
          <c:spPr>
            <a:ln>
              <a:solidFill>
                <a:schemeClr val="accent1">
                  <a:alpha val="4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crossAx val="28049763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804976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8049724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3520270479853596"/>
          <c:y val="1.9239527687844138E-3"/>
          <c:w val="0.51440166545533272"/>
          <c:h val="0.26075813090017752"/>
        </c:manualLayout>
      </c:layout>
      <c:overlay val="0"/>
    </c:legend>
    <c:plotVisOnly val="1"/>
    <c:dispBlanksAs val="gap"/>
    <c:showDLblsOverMax val="0"/>
  </c:chart>
  <c:spPr>
    <a:ln>
      <a:solidFill>
        <a:schemeClr val="bg1"/>
      </a:solidFill>
    </a:ln>
  </c:spPr>
  <c:txPr>
    <a:bodyPr/>
    <a:lstStyle/>
    <a:p>
      <a:pPr>
        <a:defRPr sz="1800"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381000</xdr:colOff>
      <xdr:row>23</xdr:row>
      <xdr:rowOff>31751</xdr:rowOff>
    </xdr:from>
    <xdr:to>
      <xdr:col>32</xdr:col>
      <xdr:colOff>95250</xdr:colOff>
      <xdr:row>48</xdr:row>
      <xdr:rowOff>31751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265756</xdr:colOff>
      <xdr:row>16</xdr:row>
      <xdr:rowOff>39878</xdr:rowOff>
    </xdr:from>
    <xdr:to>
      <xdr:col>20</xdr:col>
      <xdr:colOff>155537</xdr:colOff>
      <xdr:row>36</xdr:row>
      <xdr:rowOff>65731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Age 3 pollock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Ianelli Table 1.30 et al 2016 pollock Model 2016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7"/>
  <sheetViews>
    <sheetView zoomScale="60" zoomScaleNormal="60" workbookViewId="0">
      <selection activeCell="N73" sqref="N73"/>
    </sheetView>
  </sheetViews>
  <sheetFormatPr defaultRowHeight="15" x14ac:dyDescent="0.25"/>
  <sheetData>
    <row r="1" spans="1:25" x14ac:dyDescent="0.25">
      <c r="B1" t="s">
        <v>0</v>
      </c>
      <c r="N1" s="31" t="s">
        <v>16</v>
      </c>
      <c r="O1" t="s">
        <v>15</v>
      </c>
    </row>
    <row r="2" spans="1:25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31"/>
      <c r="O2">
        <v>1</v>
      </c>
      <c r="P2">
        <v>2</v>
      </c>
      <c r="Q2">
        <v>3</v>
      </c>
      <c r="R2">
        <v>4</v>
      </c>
      <c r="S2">
        <v>5</v>
      </c>
      <c r="T2">
        <v>6</v>
      </c>
      <c r="U2">
        <v>7</v>
      </c>
      <c r="V2">
        <v>8</v>
      </c>
      <c r="W2">
        <v>9</v>
      </c>
      <c r="X2" t="s">
        <v>13</v>
      </c>
      <c r="Y2" t="s">
        <v>14</v>
      </c>
    </row>
    <row r="3" spans="1:25" x14ac:dyDescent="0.25">
      <c r="A3">
        <v>1948</v>
      </c>
      <c r="B3">
        <v>2.3039999999999998</v>
      </c>
      <c r="C3">
        <v>2.1970000000000001</v>
      </c>
      <c r="D3">
        <v>1.256</v>
      </c>
      <c r="E3">
        <v>0.54700000000000004</v>
      </c>
      <c r="F3">
        <v>0.434</v>
      </c>
      <c r="G3">
        <v>4.0789999999999997</v>
      </c>
      <c r="H3">
        <v>7.476</v>
      </c>
      <c r="I3">
        <v>8.6669999999999998</v>
      </c>
      <c r="J3">
        <v>9.1660000000000004</v>
      </c>
      <c r="K3">
        <v>6.2060000000000004</v>
      </c>
      <c r="L3">
        <v>4.3479999999999999</v>
      </c>
      <c r="M3">
        <v>3.4910000000000001</v>
      </c>
      <c r="N3" s="31"/>
    </row>
    <row r="4" spans="1:25" x14ac:dyDescent="0.25">
      <c r="A4">
        <v>1949</v>
      </c>
      <c r="B4">
        <v>2.3380000000000001</v>
      </c>
      <c r="C4">
        <v>1.766</v>
      </c>
      <c r="D4">
        <v>1.0820000000000001</v>
      </c>
      <c r="E4">
        <v>0.61299999999999999</v>
      </c>
      <c r="F4">
        <v>0.373</v>
      </c>
      <c r="G4">
        <v>3.7549999999999999</v>
      </c>
      <c r="H4">
        <v>7.3490000000000002</v>
      </c>
      <c r="I4">
        <v>9.2789999999999999</v>
      </c>
      <c r="J4">
        <v>8.75</v>
      </c>
      <c r="K4">
        <v>6.8470000000000004</v>
      </c>
      <c r="L4">
        <v>5.0449999999999999</v>
      </c>
      <c r="M4">
        <v>3.843</v>
      </c>
      <c r="N4" s="31">
        <f>G4-I3</f>
        <v>-4.9119999999999999</v>
      </c>
    </row>
    <row r="5" spans="1:25" x14ac:dyDescent="0.25">
      <c r="A5">
        <v>1950</v>
      </c>
      <c r="B5">
        <v>2.544</v>
      </c>
      <c r="C5">
        <v>-0.85699999999999998</v>
      </c>
      <c r="D5">
        <v>1.4E-2</v>
      </c>
      <c r="E5">
        <v>-1.024</v>
      </c>
      <c r="F5">
        <v>-0.47499999999999998</v>
      </c>
      <c r="G5">
        <v>3.3359999999999999</v>
      </c>
      <c r="H5">
        <v>6.9969999999999999</v>
      </c>
      <c r="I5">
        <v>8.9920000000000009</v>
      </c>
      <c r="J5">
        <v>8.734</v>
      </c>
      <c r="K5">
        <v>6.484</v>
      </c>
      <c r="L5">
        <v>4.4320000000000004</v>
      </c>
      <c r="M5">
        <v>3.1520000000000001</v>
      </c>
      <c r="N5" s="31">
        <f t="shared" ref="N5:N69" si="0">G5-I4</f>
        <v>-5.9429999999999996</v>
      </c>
    </row>
    <row r="6" spans="1:25" x14ac:dyDescent="0.25">
      <c r="A6">
        <v>1951</v>
      </c>
      <c r="B6">
        <v>2.3490000000000002</v>
      </c>
      <c r="C6">
        <v>0.40300000000000002</v>
      </c>
      <c r="D6">
        <v>-1.335</v>
      </c>
      <c r="E6">
        <v>-1.1339999999999999</v>
      </c>
      <c r="F6">
        <v>0.56299999999999994</v>
      </c>
      <c r="G6">
        <v>3.8780000000000001</v>
      </c>
      <c r="H6">
        <v>8.1790000000000003</v>
      </c>
      <c r="I6">
        <v>9.891</v>
      </c>
      <c r="J6">
        <v>9.61</v>
      </c>
      <c r="K6">
        <v>7.7350000000000003</v>
      </c>
      <c r="L6">
        <v>5.4950000000000001</v>
      </c>
      <c r="M6">
        <v>3.9460000000000002</v>
      </c>
      <c r="N6" s="31">
        <f t="shared" si="0"/>
        <v>-5.1140000000000008</v>
      </c>
    </row>
    <row r="7" spans="1:25" x14ac:dyDescent="0.25">
      <c r="A7">
        <v>1952</v>
      </c>
      <c r="B7">
        <v>2.5</v>
      </c>
      <c r="C7">
        <v>-0.435</v>
      </c>
      <c r="D7">
        <v>-0.73599999999999999</v>
      </c>
      <c r="E7">
        <v>-2.7829999999999999</v>
      </c>
      <c r="F7">
        <v>0.11600000000000001</v>
      </c>
      <c r="G7">
        <v>3.56</v>
      </c>
      <c r="H7">
        <v>7.3250000000000002</v>
      </c>
      <c r="I7">
        <v>9.2959999999999994</v>
      </c>
      <c r="J7">
        <v>8.9949999999999992</v>
      </c>
      <c r="K7">
        <v>7.5579999999999998</v>
      </c>
      <c r="L7">
        <v>5.1749999999999998</v>
      </c>
      <c r="M7">
        <v>3.6349999999999998</v>
      </c>
      <c r="N7" s="31">
        <f t="shared" si="0"/>
        <v>-6.3309999999999995</v>
      </c>
    </row>
    <row r="8" spans="1:25" x14ac:dyDescent="0.25">
      <c r="A8">
        <v>1953</v>
      </c>
      <c r="B8">
        <v>2.5910000000000002</v>
      </c>
      <c r="C8">
        <v>0.64</v>
      </c>
      <c r="D8">
        <v>-5.2380000000000004</v>
      </c>
      <c r="E8">
        <v>0.998</v>
      </c>
      <c r="F8">
        <v>3.0139999999999998</v>
      </c>
      <c r="G8">
        <v>5.7729999999999997</v>
      </c>
      <c r="H8">
        <v>8.702</v>
      </c>
      <c r="I8">
        <v>10.042</v>
      </c>
      <c r="J8">
        <v>9.3469999999999995</v>
      </c>
      <c r="K8">
        <v>7.2210000000000001</v>
      </c>
      <c r="L8">
        <v>5.3120000000000003</v>
      </c>
      <c r="M8">
        <v>3.7629999999999999</v>
      </c>
      <c r="N8" s="31">
        <f t="shared" si="0"/>
        <v>-3.5229999999999997</v>
      </c>
    </row>
    <row r="9" spans="1:25" x14ac:dyDescent="0.25">
      <c r="A9">
        <v>1954</v>
      </c>
      <c r="B9">
        <v>2.2109999999999999</v>
      </c>
      <c r="C9">
        <v>-8.6</v>
      </c>
      <c r="D9">
        <v>-2.597</v>
      </c>
      <c r="E9">
        <v>1.4419999999999999</v>
      </c>
      <c r="F9">
        <v>2.5529999999999999</v>
      </c>
      <c r="G9">
        <v>5.5</v>
      </c>
      <c r="H9">
        <v>8.1679999999999993</v>
      </c>
      <c r="I9">
        <v>9.8490000000000002</v>
      </c>
      <c r="J9">
        <v>9.2089999999999996</v>
      </c>
      <c r="K9">
        <v>7.2850000000000001</v>
      </c>
      <c r="L9">
        <v>5.2220000000000004</v>
      </c>
      <c r="M9">
        <v>3.778</v>
      </c>
      <c r="N9" s="31">
        <f t="shared" si="0"/>
        <v>-4.5419999999999998</v>
      </c>
    </row>
    <row r="10" spans="1:25" x14ac:dyDescent="0.25">
      <c r="A10">
        <v>1955</v>
      </c>
      <c r="B10">
        <v>2.8109999999999999</v>
      </c>
      <c r="C10">
        <v>0.20699999999999999</v>
      </c>
      <c r="D10">
        <v>0.219</v>
      </c>
      <c r="E10">
        <v>1.456</v>
      </c>
      <c r="F10">
        <v>2.2679999999999998</v>
      </c>
      <c r="G10">
        <v>4.4349999999999996</v>
      </c>
      <c r="H10">
        <v>7.3159999999999998</v>
      </c>
      <c r="I10">
        <v>9.1859999999999999</v>
      </c>
      <c r="J10">
        <v>8.7289999999999992</v>
      </c>
      <c r="K10">
        <v>6.55</v>
      </c>
      <c r="L10">
        <v>4.45</v>
      </c>
      <c r="M10">
        <v>2.8460000000000001</v>
      </c>
      <c r="N10" s="31">
        <f t="shared" si="0"/>
        <v>-5.4140000000000006</v>
      </c>
    </row>
    <row r="11" spans="1:25" x14ac:dyDescent="0.25">
      <c r="A11">
        <v>1956</v>
      </c>
      <c r="B11">
        <v>-4.95</v>
      </c>
      <c r="C11">
        <v>-7.9409999999999998</v>
      </c>
      <c r="D11">
        <v>-8.7569999999999997</v>
      </c>
      <c r="E11">
        <v>-2.1930000000000001</v>
      </c>
      <c r="F11">
        <v>1.6870000000000001</v>
      </c>
      <c r="G11">
        <v>4.53</v>
      </c>
      <c r="H11">
        <v>7.8760000000000003</v>
      </c>
      <c r="I11">
        <v>9.5150000000000006</v>
      </c>
      <c r="J11">
        <v>8.7029999999999994</v>
      </c>
      <c r="K11">
        <v>6.5</v>
      </c>
      <c r="L11">
        <v>3.5750000000000002</v>
      </c>
      <c r="M11">
        <v>0.56699999999999995</v>
      </c>
      <c r="N11" s="31">
        <f t="shared" si="0"/>
        <v>-4.6559999999999997</v>
      </c>
    </row>
    <row r="12" spans="1:25" x14ac:dyDescent="0.25">
      <c r="A12">
        <v>1957</v>
      </c>
      <c r="B12">
        <v>1.35</v>
      </c>
      <c r="C12">
        <v>0.58799999999999997</v>
      </c>
      <c r="D12">
        <v>-2.605</v>
      </c>
      <c r="E12">
        <v>1.595</v>
      </c>
      <c r="F12">
        <v>3.508</v>
      </c>
      <c r="G12">
        <v>6.5730000000000004</v>
      </c>
      <c r="H12">
        <v>9.2149999999999999</v>
      </c>
      <c r="I12">
        <v>10.417</v>
      </c>
      <c r="J12">
        <v>9.8369999999999997</v>
      </c>
      <c r="K12">
        <v>8.0579999999999998</v>
      </c>
      <c r="L12">
        <v>5.5659999999999998</v>
      </c>
      <c r="M12">
        <v>3.9119999999999999</v>
      </c>
      <c r="N12" s="31">
        <f t="shared" si="0"/>
        <v>-2.9420000000000002</v>
      </c>
    </row>
    <row r="13" spans="1:25" x14ac:dyDescent="0.25">
      <c r="A13">
        <v>1958</v>
      </c>
      <c r="B13">
        <v>2.6059999999999999</v>
      </c>
      <c r="C13">
        <v>-0.78400000000000003</v>
      </c>
      <c r="D13">
        <v>1.157</v>
      </c>
      <c r="E13">
        <v>2.3260000000000001</v>
      </c>
      <c r="F13">
        <v>3.548</v>
      </c>
      <c r="G13">
        <v>6.141</v>
      </c>
      <c r="H13">
        <v>8.5399999999999991</v>
      </c>
      <c r="I13">
        <v>9.8439999999999994</v>
      </c>
      <c r="J13">
        <v>9.3989999999999991</v>
      </c>
      <c r="K13">
        <v>7.343</v>
      </c>
      <c r="L13">
        <v>4.8170000000000002</v>
      </c>
      <c r="M13">
        <v>3.4729999999999999</v>
      </c>
      <c r="N13" s="31">
        <f t="shared" si="0"/>
        <v>-4.2759999999999998</v>
      </c>
    </row>
    <row r="14" spans="1:25" x14ac:dyDescent="0.25">
      <c r="A14">
        <v>1959</v>
      </c>
      <c r="B14">
        <v>0.73699999999999999</v>
      </c>
      <c r="C14">
        <v>-0.67200000000000004</v>
      </c>
      <c r="D14">
        <v>-3.1339999999999999</v>
      </c>
      <c r="E14">
        <v>-0.60799999999999998</v>
      </c>
      <c r="F14">
        <v>2.3079999999999998</v>
      </c>
      <c r="G14">
        <v>5.8339999999999996</v>
      </c>
      <c r="H14">
        <v>8.4320000000000004</v>
      </c>
      <c r="I14">
        <v>9.5449999999999999</v>
      </c>
      <c r="J14">
        <v>9.0470000000000006</v>
      </c>
      <c r="K14">
        <v>7.44</v>
      </c>
      <c r="L14">
        <v>5.2859999999999996</v>
      </c>
      <c r="M14">
        <v>3.593</v>
      </c>
      <c r="N14" s="31">
        <f t="shared" si="0"/>
        <v>-4.01</v>
      </c>
    </row>
    <row r="15" spans="1:25" x14ac:dyDescent="0.25">
      <c r="A15">
        <v>1960</v>
      </c>
      <c r="B15">
        <v>2.4159999999999999</v>
      </c>
      <c r="C15">
        <v>-1.464</v>
      </c>
      <c r="D15">
        <v>-2.4849999999999999</v>
      </c>
      <c r="E15">
        <v>1.7150000000000001</v>
      </c>
      <c r="F15">
        <v>2.948</v>
      </c>
      <c r="G15">
        <v>5.5359999999999996</v>
      </c>
      <c r="H15">
        <v>8.2279999999999998</v>
      </c>
      <c r="I15">
        <v>9.2550000000000008</v>
      </c>
      <c r="J15">
        <v>8.5449999999999999</v>
      </c>
      <c r="K15">
        <v>6.57</v>
      </c>
      <c r="L15">
        <v>4.4320000000000004</v>
      </c>
      <c r="M15">
        <v>3.1720000000000002</v>
      </c>
      <c r="N15" s="31">
        <f t="shared" si="0"/>
        <v>-4.0090000000000003</v>
      </c>
    </row>
    <row r="16" spans="1:25" x14ac:dyDescent="0.25">
      <c r="A16">
        <v>1961</v>
      </c>
      <c r="B16">
        <v>2.629</v>
      </c>
      <c r="C16">
        <v>2.125</v>
      </c>
      <c r="D16">
        <v>-1.569</v>
      </c>
      <c r="E16">
        <v>1.474</v>
      </c>
      <c r="F16">
        <v>2.8559999999999999</v>
      </c>
      <c r="G16">
        <v>5.343</v>
      </c>
      <c r="H16">
        <v>7.8369999999999997</v>
      </c>
      <c r="I16">
        <v>9.2240000000000002</v>
      </c>
      <c r="J16">
        <v>8.6010000000000009</v>
      </c>
      <c r="K16">
        <v>6.6820000000000004</v>
      </c>
      <c r="L16">
        <v>4.5259999999999998</v>
      </c>
      <c r="M16">
        <v>3.3260000000000001</v>
      </c>
      <c r="N16" s="31">
        <f t="shared" si="0"/>
        <v>-3.9120000000000008</v>
      </c>
    </row>
    <row r="17" spans="1:25" x14ac:dyDescent="0.25">
      <c r="A17">
        <v>1962</v>
      </c>
      <c r="B17">
        <v>2.6</v>
      </c>
      <c r="C17">
        <v>2.9000000000000001E-2</v>
      </c>
      <c r="D17">
        <v>-1.5009999999999999</v>
      </c>
      <c r="E17">
        <v>1.762</v>
      </c>
      <c r="F17">
        <v>2.8</v>
      </c>
      <c r="G17">
        <v>5.1559999999999997</v>
      </c>
      <c r="H17">
        <v>8.0980000000000008</v>
      </c>
      <c r="I17">
        <v>9.6809999999999992</v>
      </c>
      <c r="J17">
        <v>9.0380000000000003</v>
      </c>
      <c r="K17">
        <v>6.9089999999999998</v>
      </c>
      <c r="L17">
        <v>4.7169999999999996</v>
      </c>
      <c r="M17">
        <v>3.0459999999999998</v>
      </c>
      <c r="N17" s="31">
        <f t="shared" si="0"/>
        <v>-4.0680000000000005</v>
      </c>
    </row>
    <row r="18" spans="1:25" x14ac:dyDescent="0.25">
      <c r="A18">
        <v>1963</v>
      </c>
      <c r="B18">
        <v>2.4870000000000001</v>
      </c>
      <c r="C18">
        <v>0.96699999999999997</v>
      </c>
      <c r="D18">
        <v>-1.6459999999999999</v>
      </c>
      <c r="E18">
        <v>-1.7050000000000001</v>
      </c>
      <c r="F18">
        <v>2.19</v>
      </c>
      <c r="G18">
        <v>5.3159999999999998</v>
      </c>
      <c r="H18">
        <v>8.0470000000000006</v>
      </c>
      <c r="I18">
        <v>9.7059999999999995</v>
      </c>
      <c r="J18">
        <v>9.3510000000000009</v>
      </c>
      <c r="K18">
        <v>7.2009999999999996</v>
      </c>
      <c r="L18">
        <v>4.5460000000000003</v>
      </c>
      <c r="M18">
        <v>3.3159999999999998</v>
      </c>
      <c r="N18" s="31">
        <f t="shared" si="0"/>
        <v>-4.3649999999999993</v>
      </c>
    </row>
    <row r="19" spans="1:25" x14ac:dyDescent="0.25">
      <c r="A19">
        <v>1964</v>
      </c>
      <c r="B19">
        <v>2.569</v>
      </c>
      <c r="C19">
        <v>-1.2470000000000001</v>
      </c>
      <c r="D19">
        <v>-4.9059999999999997</v>
      </c>
      <c r="E19">
        <v>0.72099999999999997</v>
      </c>
      <c r="F19">
        <v>2.59</v>
      </c>
      <c r="G19">
        <v>5.3970000000000002</v>
      </c>
      <c r="H19">
        <v>7.7050000000000001</v>
      </c>
      <c r="I19">
        <v>8.9190000000000005</v>
      </c>
      <c r="J19">
        <v>8.4459999999999997</v>
      </c>
      <c r="K19">
        <v>6.5279999999999996</v>
      </c>
      <c r="L19">
        <v>4.218</v>
      </c>
      <c r="M19">
        <v>2.9289999999999998</v>
      </c>
      <c r="N19" s="31">
        <f t="shared" si="0"/>
        <v>-4.3089999999999993</v>
      </c>
      <c r="O19">
        <v>5228</v>
      </c>
      <c r="P19">
        <v>3589</v>
      </c>
      <c r="Q19">
        <v>2264</v>
      </c>
      <c r="R19">
        <v>470</v>
      </c>
      <c r="S19">
        <v>211</v>
      </c>
      <c r="T19">
        <v>334</v>
      </c>
      <c r="U19">
        <v>135</v>
      </c>
      <c r="V19">
        <v>49</v>
      </c>
      <c r="W19">
        <v>22</v>
      </c>
      <c r="X19">
        <v>134</v>
      </c>
      <c r="Y19">
        <v>12437</v>
      </c>
    </row>
    <row r="20" spans="1:25" x14ac:dyDescent="0.25">
      <c r="A20">
        <v>1965</v>
      </c>
      <c r="B20">
        <v>2.0019999999999998</v>
      </c>
      <c r="C20">
        <v>-6.29</v>
      </c>
      <c r="D20">
        <v>1.4370000000000001</v>
      </c>
      <c r="E20">
        <v>1.7889999999999999</v>
      </c>
      <c r="F20">
        <v>2.7050000000000001</v>
      </c>
      <c r="G20">
        <v>4.9249999999999998</v>
      </c>
      <c r="H20">
        <v>7.3410000000000002</v>
      </c>
      <c r="I20">
        <v>9.1690000000000005</v>
      </c>
      <c r="J20">
        <v>8.7940000000000005</v>
      </c>
      <c r="K20">
        <v>6.69</v>
      </c>
      <c r="L20">
        <v>4.6890000000000001</v>
      </c>
      <c r="M20">
        <v>3.101</v>
      </c>
      <c r="N20" s="31">
        <f t="shared" si="0"/>
        <v>-3.9940000000000007</v>
      </c>
      <c r="O20">
        <v>20407</v>
      </c>
      <c r="P20">
        <v>2123</v>
      </c>
      <c r="Q20">
        <v>2259</v>
      </c>
      <c r="R20">
        <v>1609</v>
      </c>
      <c r="S20">
        <v>284</v>
      </c>
      <c r="T20">
        <v>127</v>
      </c>
      <c r="U20">
        <v>200</v>
      </c>
      <c r="V20">
        <v>82</v>
      </c>
      <c r="W20">
        <v>30</v>
      </c>
      <c r="X20">
        <v>98</v>
      </c>
      <c r="Y20">
        <v>27218</v>
      </c>
    </row>
    <row r="21" spans="1:25" x14ac:dyDescent="0.25">
      <c r="A21">
        <v>1966</v>
      </c>
      <c r="B21">
        <v>2.431</v>
      </c>
      <c r="C21">
        <v>2.1469999999999998</v>
      </c>
      <c r="D21">
        <v>-5.734</v>
      </c>
      <c r="E21">
        <v>1.0469999999999999</v>
      </c>
      <c r="F21">
        <v>2.4790000000000001</v>
      </c>
      <c r="G21">
        <v>5.2809999999999997</v>
      </c>
      <c r="H21">
        <v>8.1370000000000005</v>
      </c>
      <c r="I21">
        <v>9.3689999999999998</v>
      </c>
      <c r="J21">
        <v>8.7119999999999997</v>
      </c>
      <c r="K21">
        <v>6.99</v>
      </c>
      <c r="L21">
        <v>4.7880000000000003</v>
      </c>
      <c r="M21">
        <v>3.4590000000000001</v>
      </c>
      <c r="N21" s="31">
        <f t="shared" si="0"/>
        <v>-3.8880000000000008</v>
      </c>
      <c r="O21">
        <v>14313</v>
      </c>
      <c r="P21">
        <v>8289</v>
      </c>
      <c r="Q21">
        <v>1338</v>
      </c>
      <c r="R21">
        <v>1592</v>
      </c>
      <c r="S21">
        <v>978</v>
      </c>
      <c r="T21">
        <v>175</v>
      </c>
      <c r="U21">
        <v>79</v>
      </c>
      <c r="V21">
        <v>126</v>
      </c>
      <c r="W21">
        <v>52</v>
      </c>
      <c r="X21">
        <v>82</v>
      </c>
      <c r="Y21">
        <v>27023</v>
      </c>
    </row>
    <row r="22" spans="1:25" x14ac:dyDescent="0.25">
      <c r="A22">
        <v>1967</v>
      </c>
      <c r="B22">
        <v>2.2709999999999999</v>
      </c>
      <c r="C22">
        <v>-1.5</v>
      </c>
      <c r="D22">
        <v>1.58</v>
      </c>
      <c r="E22">
        <v>2.0609999999999999</v>
      </c>
      <c r="F22">
        <v>3.5390000000000001</v>
      </c>
      <c r="G22">
        <v>5.8970000000000002</v>
      </c>
      <c r="H22">
        <v>8.5210000000000008</v>
      </c>
      <c r="I22">
        <v>10.118</v>
      </c>
      <c r="J22">
        <v>9.2490000000000006</v>
      </c>
      <c r="K22">
        <v>7.24</v>
      </c>
      <c r="L22">
        <v>4.8090000000000002</v>
      </c>
      <c r="M22">
        <v>3.2709999999999999</v>
      </c>
      <c r="N22" s="31">
        <f t="shared" si="0"/>
        <v>-3.4719999999999995</v>
      </c>
      <c r="O22">
        <v>28708</v>
      </c>
      <c r="P22">
        <v>5814</v>
      </c>
      <c r="Q22">
        <v>5210</v>
      </c>
      <c r="R22">
        <v>938</v>
      </c>
      <c r="S22">
        <v>991</v>
      </c>
      <c r="T22">
        <v>613</v>
      </c>
      <c r="U22">
        <v>111</v>
      </c>
      <c r="V22">
        <v>50</v>
      </c>
      <c r="W22">
        <v>81</v>
      </c>
      <c r="X22">
        <v>87</v>
      </c>
      <c r="Y22">
        <v>42605</v>
      </c>
    </row>
    <row r="23" spans="1:25" x14ac:dyDescent="0.25">
      <c r="A23">
        <v>1968</v>
      </c>
      <c r="B23">
        <v>0.26300000000000001</v>
      </c>
      <c r="C23">
        <v>-2.806</v>
      </c>
      <c r="D23">
        <v>0.82399999999999995</v>
      </c>
      <c r="E23">
        <v>1.87</v>
      </c>
      <c r="F23">
        <v>2.956</v>
      </c>
      <c r="G23">
        <v>5.9219999999999997</v>
      </c>
      <c r="H23">
        <v>8.6029999999999998</v>
      </c>
      <c r="I23">
        <v>9.8209999999999997</v>
      </c>
      <c r="J23">
        <v>9.1669999999999998</v>
      </c>
      <c r="K23">
        <v>7.1020000000000003</v>
      </c>
      <c r="L23">
        <v>4.75</v>
      </c>
      <c r="M23">
        <v>3.11</v>
      </c>
      <c r="N23" s="31">
        <f t="shared" si="0"/>
        <v>-4.1960000000000006</v>
      </c>
      <c r="O23">
        <v>26680</v>
      </c>
      <c r="P23">
        <v>11654</v>
      </c>
      <c r="Q23">
        <v>3601</v>
      </c>
      <c r="R23">
        <v>3291</v>
      </c>
      <c r="S23">
        <v>545</v>
      </c>
      <c r="T23">
        <v>576</v>
      </c>
      <c r="U23">
        <v>359</v>
      </c>
      <c r="V23">
        <v>65</v>
      </c>
      <c r="W23">
        <v>30</v>
      </c>
      <c r="X23">
        <v>99</v>
      </c>
      <c r="Y23">
        <v>46899</v>
      </c>
    </row>
    <row r="24" spans="1:25" x14ac:dyDescent="0.25">
      <c r="A24">
        <v>1969</v>
      </c>
      <c r="B24">
        <v>2.4710000000000001</v>
      </c>
      <c r="C24">
        <v>2.0649999999999999</v>
      </c>
      <c r="D24">
        <v>0.74199999999999999</v>
      </c>
      <c r="E24">
        <v>1.7769999999999999</v>
      </c>
      <c r="F24">
        <v>3.08</v>
      </c>
      <c r="G24">
        <v>5.6369999999999996</v>
      </c>
      <c r="H24">
        <v>8.4830000000000005</v>
      </c>
      <c r="I24">
        <v>9.8740000000000006</v>
      </c>
      <c r="J24">
        <v>9.2919999999999998</v>
      </c>
      <c r="K24">
        <v>7.5940000000000003</v>
      </c>
      <c r="L24">
        <v>4.931</v>
      </c>
      <c r="M24">
        <v>3.5169999999999999</v>
      </c>
      <c r="N24" s="31">
        <f t="shared" si="0"/>
        <v>-4.1840000000000002</v>
      </c>
      <c r="O24">
        <v>29281</v>
      </c>
      <c r="P24">
        <v>10829</v>
      </c>
      <c r="Q24">
        <v>7190</v>
      </c>
      <c r="R24">
        <v>2349</v>
      </c>
      <c r="S24">
        <v>1853</v>
      </c>
      <c r="T24">
        <v>311</v>
      </c>
      <c r="U24">
        <v>334</v>
      </c>
      <c r="V24">
        <v>210</v>
      </c>
      <c r="W24">
        <v>38</v>
      </c>
      <c r="X24">
        <v>77</v>
      </c>
      <c r="Y24">
        <v>52473</v>
      </c>
    </row>
    <row r="25" spans="1:25" x14ac:dyDescent="0.25">
      <c r="A25">
        <v>1970</v>
      </c>
      <c r="B25">
        <v>2.4849999999999999</v>
      </c>
      <c r="C25">
        <v>-1.659</v>
      </c>
      <c r="D25">
        <v>-0.38</v>
      </c>
      <c r="E25">
        <v>1.8859999999999999</v>
      </c>
      <c r="F25">
        <v>2.9689999999999999</v>
      </c>
      <c r="G25">
        <v>5.3440000000000003</v>
      </c>
      <c r="H25">
        <v>7.5919999999999996</v>
      </c>
      <c r="I25">
        <v>8.8940000000000001</v>
      </c>
      <c r="J25">
        <v>8.7260000000000009</v>
      </c>
      <c r="K25">
        <v>7.4749999999999996</v>
      </c>
      <c r="L25">
        <v>5.5129999999999999</v>
      </c>
      <c r="M25">
        <v>3.8679999999999999</v>
      </c>
      <c r="N25" s="31">
        <f t="shared" si="0"/>
        <v>-4.53</v>
      </c>
      <c r="O25">
        <v>20124</v>
      </c>
      <c r="P25">
        <v>11885</v>
      </c>
      <c r="Q25">
        <v>6678</v>
      </c>
      <c r="R25">
        <v>4463</v>
      </c>
      <c r="S25">
        <v>1383</v>
      </c>
      <c r="T25">
        <v>1102</v>
      </c>
      <c r="U25">
        <v>187</v>
      </c>
      <c r="V25">
        <v>201</v>
      </c>
      <c r="W25">
        <v>127</v>
      </c>
      <c r="X25">
        <v>69</v>
      </c>
      <c r="Y25">
        <v>46219</v>
      </c>
    </row>
    <row r="26" spans="1:25" x14ac:dyDescent="0.25">
      <c r="A26">
        <v>1971</v>
      </c>
      <c r="B26">
        <v>2.2010000000000001</v>
      </c>
      <c r="C26">
        <v>-5.2610000000000001</v>
      </c>
      <c r="D26">
        <v>-7.9260000000000002</v>
      </c>
      <c r="E26">
        <v>-3.1539999999999999</v>
      </c>
      <c r="F26">
        <v>1.6379999999999999</v>
      </c>
      <c r="G26">
        <v>4.306</v>
      </c>
      <c r="H26">
        <v>6.6989999999999998</v>
      </c>
      <c r="I26">
        <v>8.375</v>
      </c>
      <c r="J26">
        <v>7.97</v>
      </c>
      <c r="K26">
        <v>6.4649999999999999</v>
      </c>
      <c r="L26">
        <v>4.1790000000000003</v>
      </c>
      <c r="M26">
        <v>2.988</v>
      </c>
      <c r="N26" s="31">
        <f t="shared" si="0"/>
        <v>-4.5880000000000001</v>
      </c>
      <c r="O26">
        <v>9676</v>
      </c>
      <c r="P26">
        <v>8163</v>
      </c>
      <c r="Q26">
        <v>7091</v>
      </c>
      <c r="R26">
        <v>3881</v>
      </c>
      <c r="S26">
        <v>2609</v>
      </c>
      <c r="T26">
        <v>812</v>
      </c>
      <c r="U26">
        <v>652</v>
      </c>
      <c r="V26">
        <v>107</v>
      </c>
      <c r="W26">
        <v>115</v>
      </c>
      <c r="X26">
        <v>106</v>
      </c>
      <c r="Y26">
        <v>33212</v>
      </c>
    </row>
    <row r="27" spans="1:25" x14ac:dyDescent="0.25">
      <c r="A27">
        <v>1972</v>
      </c>
      <c r="B27">
        <v>2.335</v>
      </c>
      <c r="C27">
        <v>1.635</v>
      </c>
      <c r="D27">
        <v>-6.2789999999999999</v>
      </c>
      <c r="E27">
        <v>-1.8089999999999999</v>
      </c>
      <c r="F27">
        <v>1.65</v>
      </c>
      <c r="G27">
        <v>4.4569999999999999</v>
      </c>
      <c r="H27">
        <v>7.2939999999999996</v>
      </c>
      <c r="I27">
        <v>8.9130000000000003</v>
      </c>
      <c r="J27">
        <v>8.3170000000000002</v>
      </c>
      <c r="K27">
        <v>6.5670000000000002</v>
      </c>
      <c r="L27">
        <v>4.6609999999999996</v>
      </c>
      <c r="M27">
        <v>3.3460000000000001</v>
      </c>
      <c r="N27" s="31">
        <f t="shared" si="0"/>
        <v>-3.9180000000000001</v>
      </c>
      <c r="O27">
        <v>10686</v>
      </c>
      <c r="P27">
        <v>3923</v>
      </c>
      <c r="Q27">
        <v>4834</v>
      </c>
      <c r="R27">
        <v>3970</v>
      </c>
      <c r="S27">
        <v>2091</v>
      </c>
      <c r="T27">
        <v>1359</v>
      </c>
      <c r="U27">
        <v>428</v>
      </c>
      <c r="V27">
        <v>344</v>
      </c>
      <c r="W27">
        <v>56</v>
      </c>
      <c r="X27">
        <v>100</v>
      </c>
      <c r="Y27">
        <v>27792</v>
      </c>
    </row>
    <row r="28" spans="1:25" x14ac:dyDescent="0.25">
      <c r="A28">
        <v>1973</v>
      </c>
      <c r="B28">
        <v>-0.156</v>
      </c>
      <c r="C28">
        <v>-2.1970000000000001</v>
      </c>
      <c r="D28">
        <v>-3.133</v>
      </c>
      <c r="E28">
        <v>0.38300000000000001</v>
      </c>
      <c r="F28">
        <v>2.262</v>
      </c>
      <c r="G28">
        <v>5.085</v>
      </c>
      <c r="H28">
        <v>7.5990000000000002</v>
      </c>
      <c r="I28">
        <v>8.9770000000000003</v>
      </c>
      <c r="J28">
        <v>8.5350000000000001</v>
      </c>
      <c r="K28">
        <v>6.8289999999999997</v>
      </c>
      <c r="L28">
        <v>4.8280000000000003</v>
      </c>
      <c r="M28">
        <v>3.1440000000000001</v>
      </c>
      <c r="N28" s="31">
        <f t="shared" si="0"/>
        <v>-3.8280000000000003</v>
      </c>
      <c r="O28">
        <v>28947</v>
      </c>
      <c r="P28">
        <v>4331</v>
      </c>
      <c r="Q28">
        <v>2194</v>
      </c>
      <c r="R28">
        <v>2431</v>
      </c>
      <c r="S28">
        <v>1972</v>
      </c>
      <c r="T28">
        <v>1045</v>
      </c>
      <c r="U28">
        <v>684</v>
      </c>
      <c r="V28">
        <v>215</v>
      </c>
      <c r="W28">
        <v>174</v>
      </c>
      <c r="X28">
        <v>66</v>
      </c>
      <c r="Y28">
        <v>42059</v>
      </c>
    </row>
    <row r="29" spans="1:25" x14ac:dyDescent="0.25">
      <c r="A29">
        <v>1974</v>
      </c>
      <c r="B29">
        <v>1.0649999999999999</v>
      </c>
      <c r="C29">
        <v>-8.782</v>
      </c>
      <c r="D29">
        <v>-4.0640000000000001</v>
      </c>
      <c r="E29">
        <v>-0.22500000000000001</v>
      </c>
      <c r="F29">
        <v>2.5390000000000001</v>
      </c>
      <c r="G29">
        <v>5.2789999999999999</v>
      </c>
      <c r="H29">
        <v>8.1549999999999994</v>
      </c>
      <c r="I29">
        <v>9.7159999999999993</v>
      </c>
      <c r="J29">
        <v>9.4109999999999996</v>
      </c>
      <c r="K29">
        <v>7.2220000000000004</v>
      </c>
      <c r="L29">
        <v>4.67</v>
      </c>
      <c r="M29">
        <v>3.0720000000000001</v>
      </c>
      <c r="N29" s="31">
        <f t="shared" si="0"/>
        <v>-3.6980000000000004</v>
      </c>
      <c r="O29">
        <v>21457</v>
      </c>
      <c r="P29">
        <v>11726</v>
      </c>
      <c r="Q29">
        <v>2336</v>
      </c>
      <c r="R29">
        <v>1035</v>
      </c>
      <c r="S29">
        <v>1059</v>
      </c>
      <c r="T29">
        <v>862</v>
      </c>
      <c r="U29">
        <v>459</v>
      </c>
      <c r="V29">
        <v>301</v>
      </c>
      <c r="W29">
        <v>95</v>
      </c>
      <c r="X29">
        <v>101</v>
      </c>
      <c r="Y29">
        <v>39433</v>
      </c>
    </row>
    <row r="30" spans="1:25" x14ac:dyDescent="0.25">
      <c r="A30">
        <v>1975</v>
      </c>
      <c r="B30">
        <v>2.19</v>
      </c>
      <c r="C30">
        <v>-6.2770000000000001</v>
      </c>
      <c r="D30">
        <v>-4.25</v>
      </c>
      <c r="E30">
        <v>-2.0529999999999999</v>
      </c>
      <c r="F30">
        <v>1.804</v>
      </c>
      <c r="G30">
        <v>4.4610000000000003</v>
      </c>
      <c r="H30">
        <v>7.2670000000000003</v>
      </c>
      <c r="I30">
        <v>8.6270000000000007</v>
      </c>
      <c r="J30">
        <v>8.1869999999999994</v>
      </c>
      <c r="K30">
        <v>6.4219999999999997</v>
      </c>
      <c r="L30">
        <v>3.96</v>
      </c>
      <c r="M30">
        <v>2.5579999999999998</v>
      </c>
      <c r="N30" s="31">
        <f t="shared" si="0"/>
        <v>-5.254999999999999</v>
      </c>
      <c r="O30">
        <v>18171</v>
      </c>
      <c r="P30">
        <v>8692</v>
      </c>
      <c r="Q30">
        <v>5920</v>
      </c>
      <c r="R30">
        <v>972</v>
      </c>
      <c r="S30">
        <v>433</v>
      </c>
      <c r="T30">
        <v>447</v>
      </c>
      <c r="U30">
        <v>367</v>
      </c>
      <c r="V30">
        <v>196</v>
      </c>
      <c r="W30">
        <v>128</v>
      </c>
      <c r="X30">
        <v>82</v>
      </c>
      <c r="Y30">
        <v>35406</v>
      </c>
    </row>
    <row r="31" spans="1:25" x14ac:dyDescent="0.25">
      <c r="A31">
        <v>1976</v>
      </c>
      <c r="B31">
        <v>-3.07</v>
      </c>
      <c r="C31">
        <v>-6.9619999999999997</v>
      </c>
      <c r="D31">
        <v>-10.239000000000001</v>
      </c>
      <c r="E31">
        <v>-7.1360000000000001</v>
      </c>
      <c r="F31">
        <v>1.42</v>
      </c>
      <c r="G31">
        <v>4.5469999999999997</v>
      </c>
      <c r="H31">
        <v>7.4</v>
      </c>
      <c r="I31">
        <v>8.7170000000000005</v>
      </c>
      <c r="J31">
        <v>8.2639999999999993</v>
      </c>
      <c r="K31">
        <v>6.8719999999999999</v>
      </c>
      <c r="L31">
        <v>4.7370000000000001</v>
      </c>
      <c r="M31">
        <v>3.5550000000000002</v>
      </c>
      <c r="N31" s="31">
        <f t="shared" si="0"/>
        <v>-4.080000000000001</v>
      </c>
      <c r="O31">
        <v>13946</v>
      </c>
      <c r="P31">
        <v>7368</v>
      </c>
      <c r="Q31">
        <v>4968</v>
      </c>
      <c r="R31">
        <v>2556</v>
      </c>
      <c r="S31">
        <v>436</v>
      </c>
      <c r="T31">
        <v>199</v>
      </c>
      <c r="U31">
        <v>208</v>
      </c>
      <c r="V31">
        <v>171</v>
      </c>
      <c r="W31">
        <v>91</v>
      </c>
      <c r="X31">
        <v>95</v>
      </c>
      <c r="Y31">
        <v>30039</v>
      </c>
    </row>
    <row r="32" spans="1:25" x14ac:dyDescent="0.25">
      <c r="A32">
        <v>1977</v>
      </c>
      <c r="B32">
        <v>2.9119999999999999</v>
      </c>
      <c r="C32">
        <v>2.5590000000000002</v>
      </c>
      <c r="D32">
        <v>1.976</v>
      </c>
      <c r="E32">
        <v>1.897</v>
      </c>
      <c r="F32">
        <v>2.8849999999999998</v>
      </c>
      <c r="G32">
        <v>6.0110000000000001</v>
      </c>
      <c r="H32">
        <v>8.7620000000000005</v>
      </c>
      <c r="I32">
        <v>10.347</v>
      </c>
      <c r="J32">
        <v>9.9550000000000001</v>
      </c>
      <c r="K32">
        <v>7.524</v>
      </c>
      <c r="L32">
        <v>4.7590000000000003</v>
      </c>
      <c r="M32">
        <v>3.613</v>
      </c>
      <c r="N32" s="31">
        <f t="shared" si="0"/>
        <v>-2.7060000000000004</v>
      </c>
      <c r="O32">
        <v>13901</v>
      </c>
      <c r="P32">
        <v>5658</v>
      </c>
      <c r="Q32">
        <v>4283</v>
      </c>
      <c r="R32">
        <v>2504</v>
      </c>
      <c r="S32">
        <v>1179</v>
      </c>
      <c r="T32">
        <v>206</v>
      </c>
      <c r="U32">
        <v>95</v>
      </c>
      <c r="V32">
        <v>101</v>
      </c>
      <c r="W32">
        <v>83</v>
      </c>
      <c r="X32">
        <v>90</v>
      </c>
      <c r="Y32">
        <v>28100</v>
      </c>
    </row>
    <row r="33" spans="1:25" x14ac:dyDescent="0.25">
      <c r="A33">
        <v>1978</v>
      </c>
      <c r="B33">
        <v>2.9950000000000001</v>
      </c>
      <c r="C33">
        <v>2.5489999999999999</v>
      </c>
      <c r="D33">
        <v>1.929</v>
      </c>
      <c r="E33">
        <v>2.2410000000000001</v>
      </c>
      <c r="F33">
        <v>3.4209999999999998</v>
      </c>
      <c r="G33">
        <v>5.6710000000000003</v>
      </c>
      <c r="H33">
        <v>8.0389999999999997</v>
      </c>
      <c r="I33">
        <v>9.4920000000000009</v>
      </c>
      <c r="J33">
        <v>9.1649999999999991</v>
      </c>
      <c r="K33">
        <v>7.4889999999999999</v>
      </c>
      <c r="L33">
        <v>5.3719999999999999</v>
      </c>
      <c r="M33">
        <v>3.9980000000000002</v>
      </c>
      <c r="N33" s="31">
        <f t="shared" si="0"/>
        <v>-4.6759999999999993</v>
      </c>
      <c r="O33">
        <v>26918</v>
      </c>
      <c r="P33">
        <v>5642</v>
      </c>
      <c r="Q33">
        <v>3237</v>
      </c>
      <c r="R33">
        <v>2382</v>
      </c>
      <c r="S33">
        <v>1299</v>
      </c>
      <c r="T33">
        <v>601</v>
      </c>
      <c r="U33">
        <v>106</v>
      </c>
      <c r="V33">
        <v>49</v>
      </c>
      <c r="W33">
        <v>52</v>
      </c>
      <c r="X33">
        <v>90</v>
      </c>
      <c r="Y33">
        <v>40376</v>
      </c>
    </row>
    <row r="34" spans="1:25" x14ac:dyDescent="0.25">
      <c r="A34">
        <v>1979</v>
      </c>
      <c r="B34">
        <v>3.262</v>
      </c>
      <c r="C34">
        <v>2.5110000000000001</v>
      </c>
      <c r="D34">
        <v>1.8069999999999999</v>
      </c>
      <c r="E34">
        <v>2.2410000000000001</v>
      </c>
      <c r="F34">
        <v>3.6120000000000001</v>
      </c>
      <c r="G34">
        <v>6.1539999999999999</v>
      </c>
      <c r="H34">
        <v>8.75</v>
      </c>
      <c r="I34">
        <v>10.311</v>
      </c>
      <c r="J34">
        <v>10.010999999999999</v>
      </c>
      <c r="K34">
        <v>7.88</v>
      </c>
      <c r="L34">
        <v>5.6470000000000002</v>
      </c>
      <c r="M34">
        <v>4.0579999999999998</v>
      </c>
      <c r="N34" s="31">
        <f t="shared" si="0"/>
        <v>-3.338000000000001</v>
      </c>
      <c r="O34">
        <v>65651</v>
      </c>
      <c r="P34">
        <v>10926</v>
      </c>
      <c r="Q34">
        <v>3261</v>
      </c>
      <c r="R34">
        <v>1756</v>
      </c>
      <c r="S34">
        <v>1230</v>
      </c>
      <c r="T34">
        <v>667</v>
      </c>
      <c r="U34">
        <v>312</v>
      </c>
      <c r="V34">
        <v>54</v>
      </c>
      <c r="W34">
        <v>25</v>
      </c>
      <c r="X34">
        <v>72</v>
      </c>
      <c r="Y34">
        <v>83955</v>
      </c>
    </row>
    <row r="35" spans="1:25" x14ac:dyDescent="0.25">
      <c r="A35">
        <v>1980</v>
      </c>
      <c r="B35">
        <v>0.372</v>
      </c>
      <c r="C35">
        <v>-2.4649999999999999</v>
      </c>
      <c r="D35">
        <v>0.314</v>
      </c>
      <c r="E35">
        <v>1.9710000000000001</v>
      </c>
      <c r="F35">
        <v>3.3330000000000002</v>
      </c>
      <c r="G35">
        <v>5.524</v>
      </c>
      <c r="H35">
        <v>8.1129999999999995</v>
      </c>
      <c r="I35">
        <v>9.6649999999999991</v>
      </c>
      <c r="J35">
        <v>9.0340000000000007</v>
      </c>
      <c r="K35">
        <v>7.1710000000000003</v>
      </c>
      <c r="L35">
        <v>5.1740000000000004</v>
      </c>
      <c r="M35">
        <v>3.3109999999999999</v>
      </c>
      <c r="N35" s="31">
        <f t="shared" si="0"/>
        <v>-4.7869999999999999</v>
      </c>
      <c r="O35">
        <v>26290</v>
      </c>
      <c r="P35">
        <v>26652</v>
      </c>
      <c r="Q35">
        <v>6583</v>
      </c>
      <c r="R35">
        <v>1853</v>
      </c>
      <c r="S35">
        <v>945</v>
      </c>
      <c r="T35">
        <v>610</v>
      </c>
      <c r="U35">
        <v>332</v>
      </c>
      <c r="V35">
        <v>157</v>
      </c>
      <c r="W35">
        <v>27</v>
      </c>
      <c r="X35">
        <v>49</v>
      </c>
      <c r="Y35">
        <v>63498</v>
      </c>
    </row>
    <row r="36" spans="1:25" x14ac:dyDescent="0.25">
      <c r="A36">
        <v>1981</v>
      </c>
      <c r="B36">
        <v>2.39</v>
      </c>
      <c r="C36">
        <v>2.1040000000000001</v>
      </c>
      <c r="D36">
        <v>1.7789999999999999</v>
      </c>
      <c r="E36">
        <v>2.339</v>
      </c>
      <c r="F36">
        <v>3.851</v>
      </c>
      <c r="G36">
        <v>6.4020000000000001</v>
      </c>
      <c r="H36">
        <v>8.8249999999999993</v>
      </c>
      <c r="I36">
        <v>10.061</v>
      </c>
      <c r="J36">
        <v>9.5969999999999995</v>
      </c>
      <c r="K36">
        <v>7.5750000000000002</v>
      </c>
      <c r="L36">
        <v>4.93</v>
      </c>
      <c r="M36">
        <v>3.3239999999999998</v>
      </c>
      <c r="N36" s="31">
        <f t="shared" si="0"/>
        <v>-3.262999999999999</v>
      </c>
      <c r="O36">
        <v>29778</v>
      </c>
      <c r="P36">
        <v>10679</v>
      </c>
      <c r="Q36">
        <v>16609</v>
      </c>
      <c r="R36">
        <v>4174</v>
      </c>
      <c r="S36">
        <v>994</v>
      </c>
      <c r="T36">
        <v>477</v>
      </c>
      <c r="U36">
        <v>301</v>
      </c>
      <c r="V36">
        <v>166</v>
      </c>
      <c r="W36">
        <v>79</v>
      </c>
      <c r="X36">
        <v>38</v>
      </c>
      <c r="Y36">
        <v>63295</v>
      </c>
    </row>
    <row r="37" spans="1:25" x14ac:dyDescent="0.25">
      <c r="A37">
        <v>1982</v>
      </c>
      <c r="B37">
        <v>1.363</v>
      </c>
      <c r="C37">
        <v>0.98899999999999999</v>
      </c>
      <c r="D37">
        <v>-0.12</v>
      </c>
      <c r="E37">
        <v>-0.28599999999999998</v>
      </c>
      <c r="F37">
        <v>0.95299999999999996</v>
      </c>
      <c r="G37">
        <v>4.37</v>
      </c>
      <c r="H37">
        <v>7.0090000000000003</v>
      </c>
      <c r="I37">
        <v>8.3030000000000008</v>
      </c>
      <c r="J37">
        <v>7.8410000000000002</v>
      </c>
      <c r="K37">
        <v>5.8529999999999998</v>
      </c>
      <c r="L37">
        <v>4.1900000000000004</v>
      </c>
      <c r="M37">
        <v>2.6539999999999999</v>
      </c>
      <c r="N37" s="31">
        <f t="shared" si="0"/>
        <v>-5.6909999999999998</v>
      </c>
      <c r="O37">
        <v>15587</v>
      </c>
      <c r="P37">
        <v>12101</v>
      </c>
      <c r="Q37">
        <v>6740</v>
      </c>
      <c r="R37">
        <v>11395</v>
      </c>
      <c r="S37">
        <v>2521</v>
      </c>
      <c r="T37">
        <v>539</v>
      </c>
      <c r="U37">
        <v>259</v>
      </c>
      <c r="V37">
        <v>165</v>
      </c>
      <c r="W37">
        <v>91</v>
      </c>
      <c r="X37">
        <v>63</v>
      </c>
      <c r="Y37">
        <v>49462</v>
      </c>
    </row>
    <row r="38" spans="1:25" x14ac:dyDescent="0.25">
      <c r="A38">
        <v>1983</v>
      </c>
      <c r="B38">
        <v>-0.61199999999999999</v>
      </c>
      <c r="C38">
        <v>-0.77400000000000002</v>
      </c>
      <c r="D38">
        <v>-0.28999999999999998</v>
      </c>
      <c r="E38">
        <v>0.55200000000000005</v>
      </c>
      <c r="F38">
        <v>2.6949999999999998</v>
      </c>
      <c r="G38">
        <v>6.6050000000000004</v>
      </c>
      <c r="H38">
        <v>10.175000000000001</v>
      </c>
      <c r="I38">
        <v>10.32</v>
      </c>
      <c r="J38">
        <v>9.8330000000000002</v>
      </c>
      <c r="K38">
        <v>7.2140000000000004</v>
      </c>
      <c r="L38">
        <v>4.8819999999999997</v>
      </c>
      <c r="M38">
        <v>4.3449999999999998</v>
      </c>
      <c r="N38" s="31">
        <f t="shared" si="0"/>
        <v>-1.6980000000000004</v>
      </c>
      <c r="O38">
        <v>52550</v>
      </c>
      <c r="P38">
        <v>6336</v>
      </c>
      <c r="Q38">
        <v>7679</v>
      </c>
      <c r="R38">
        <v>4837</v>
      </c>
      <c r="S38">
        <v>7481</v>
      </c>
      <c r="T38">
        <v>1530</v>
      </c>
      <c r="U38">
        <v>323</v>
      </c>
      <c r="V38">
        <v>156</v>
      </c>
      <c r="W38">
        <v>98</v>
      </c>
      <c r="X38">
        <v>89</v>
      </c>
      <c r="Y38">
        <v>81079</v>
      </c>
    </row>
    <row r="39" spans="1:25" x14ac:dyDescent="0.25">
      <c r="A39">
        <v>1984</v>
      </c>
      <c r="B39">
        <v>3.5350000000000001</v>
      </c>
      <c r="C39">
        <v>-3.2010000000000001</v>
      </c>
      <c r="D39">
        <v>-1.0920000000000001</v>
      </c>
      <c r="E39">
        <v>0.11</v>
      </c>
      <c r="F39">
        <v>1.369</v>
      </c>
      <c r="G39">
        <v>5.7210000000000001</v>
      </c>
      <c r="H39">
        <v>8.0079999999999991</v>
      </c>
      <c r="I39">
        <v>9.6259999999999994</v>
      </c>
      <c r="J39">
        <v>9.2829999999999995</v>
      </c>
      <c r="K39">
        <v>7.6719999999999997</v>
      </c>
      <c r="L39">
        <v>5.58</v>
      </c>
      <c r="M39">
        <v>4.3540000000000001</v>
      </c>
      <c r="N39" s="31">
        <f t="shared" si="0"/>
        <v>-4.5990000000000002</v>
      </c>
      <c r="O39">
        <v>13032</v>
      </c>
      <c r="P39">
        <v>21361</v>
      </c>
      <c r="Q39">
        <v>4021</v>
      </c>
      <c r="R39">
        <v>5540</v>
      </c>
      <c r="S39">
        <v>3279</v>
      </c>
      <c r="T39">
        <v>4819</v>
      </c>
      <c r="U39">
        <v>938</v>
      </c>
      <c r="V39">
        <v>198</v>
      </c>
      <c r="W39">
        <v>95</v>
      </c>
      <c r="X39">
        <v>107</v>
      </c>
      <c r="Y39">
        <v>53389</v>
      </c>
    </row>
    <row r="40" spans="1:25" x14ac:dyDescent="0.25">
      <c r="A40">
        <v>1985</v>
      </c>
      <c r="B40">
        <v>3.976</v>
      </c>
      <c r="C40">
        <v>1.6870000000000001</v>
      </c>
      <c r="D40">
        <v>0.44</v>
      </c>
      <c r="E40">
        <v>-1.3149999999999999</v>
      </c>
      <c r="F40">
        <v>0.97399999999999998</v>
      </c>
      <c r="G40">
        <v>3.4049999999999998</v>
      </c>
      <c r="H40">
        <v>6.673</v>
      </c>
      <c r="I40">
        <v>8.0649999999999995</v>
      </c>
      <c r="J40">
        <v>8.2260000000000009</v>
      </c>
      <c r="K40">
        <v>6.4960000000000004</v>
      </c>
      <c r="L40">
        <v>4.2350000000000003</v>
      </c>
      <c r="M40">
        <v>3.4039999999999999</v>
      </c>
      <c r="N40" s="31">
        <f t="shared" si="0"/>
        <v>-6.2210000000000001</v>
      </c>
      <c r="O40">
        <v>35369</v>
      </c>
      <c r="P40">
        <v>5297</v>
      </c>
      <c r="Q40">
        <v>13568</v>
      </c>
      <c r="R40">
        <v>2902</v>
      </c>
      <c r="S40">
        <v>3782</v>
      </c>
      <c r="T40">
        <v>2058</v>
      </c>
      <c r="U40">
        <v>3041</v>
      </c>
      <c r="V40">
        <v>579</v>
      </c>
      <c r="W40">
        <v>122</v>
      </c>
      <c r="X40">
        <v>115</v>
      </c>
      <c r="Y40">
        <v>66832</v>
      </c>
    </row>
    <row r="41" spans="1:25" x14ac:dyDescent="0.25">
      <c r="A41">
        <v>1986</v>
      </c>
      <c r="B41">
        <v>2.76</v>
      </c>
      <c r="C41">
        <v>0.45400000000000001</v>
      </c>
      <c r="D41">
        <v>-2.2389999999999999</v>
      </c>
      <c r="E41">
        <v>-0.35799999999999998</v>
      </c>
      <c r="F41">
        <v>1.0249999999999999</v>
      </c>
      <c r="G41">
        <v>3.7610000000000001</v>
      </c>
      <c r="H41">
        <v>7.4930000000000003</v>
      </c>
      <c r="I41">
        <v>8.9339999999999993</v>
      </c>
      <c r="J41">
        <v>8.9250000000000007</v>
      </c>
      <c r="K41">
        <v>7.742</v>
      </c>
      <c r="L41">
        <v>6.3010000000000002</v>
      </c>
      <c r="M41">
        <v>4.0369999999999999</v>
      </c>
      <c r="N41" s="31">
        <f t="shared" si="0"/>
        <v>-4.3039999999999994</v>
      </c>
      <c r="O41">
        <v>14506</v>
      </c>
      <c r="P41">
        <v>14378</v>
      </c>
      <c r="Q41">
        <v>3360</v>
      </c>
      <c r="R41">
        <v>9747</v>
      </c>
      <c r="S41">
        <v>2022</v>
      </c>
      <c r="T41">
        <v>2481</v>
      </c>
      <c r="U41">
        <v>1253</v>
      </c>
      <c r="V41">
        <v>1871</v>
      </c>
      <c r="W41">
        <v>351</v>
      </c>
      <c r="X41">
        <v>133</v>
      </c>
      <c r="Y41">
        <v>50101</v>
      </c>
    </row>
    <row r="42" spans="1:25" x14ac:dyDescent="0.25">
      <c r="A42">
        <v>1987</v>
      </c>
      <c r="B42">
        <v>0.66400000000000003</v>
      </c>
      <c r="C42">
        <v>3.2000000000000001E-2</v>
      </c>
      <c r="D42">
        <v>0.71499999999999997</v>
      </c>
      <c r="E42">
        <v>1.6379999999999999</v>
      </c>
      <c r="F42">
        <v>2.79</v>
      </c>
      <c r="G42">
        <v>4.6180000000000003</v>
      </c>
      <c r="H42">
        <v>8.8670000000000009</v>
      </c>
      <c r="I42">
        <v>10.811</v>
      </c>
      <c r="J42">
        <v>10.353999999999999</v>
      </c>
      <c r="K42">
        <v>7.4630000000000001</v>
      </c>
      <c r="L42">
        <v>5.55</v>
      </c>
      <c r="M42">
        <v>1.77</v>
      </c>
      <c r="N42" s="31">
        <f t="shared" si="0"/>
        <v>-4.3159999999999989</v>
      </c>
      <c r="O42">
        <v>8493</v>
      </c>
      <c r="P42">
        <v>5897</v>
      </c>
      <c r="Q42">
        <v>9117</v>
      </c>
      <c r="R42">
        <v>2421</v>
      </c>
      <c r="S42">
        <v>6680</v>
      </c>
      <c r="T42">
        <v>1344</v>
      </c>
      <c r="U42">
        <v>1538</v>
      </c>
      <c r="V42">
        <v>775</v>
      </c>
      <c r="W42">
        <v>1179</v>
      </c>
      <c r="X42">
        <v>286</v>
      </c>
      <c r="Y42">
        <v>37731</v>
      </c>
    </row>
    <row r="43" spans="1:25" x14ac:dyDescent="0.25">
      <c r="A43">
        <v>1988</v>
      </c>
      <c r="B43">
        <v>0.67400000000000004</v>
      </c>
      <c r="C43">
        <v>0.50700000000000001</v>
      </c>
      <c r="D43">
        <v>-2.8279999999999998</v>
      </c>
      <c r="E43">
        <v>-0.96399999999999997</v>
      </c>
      <c r="F43">
        <v>2.0390000000000001</v>
      </c>
      <c r="G43">
        <v>5.4020000000000001</v>
      </c>
      <c r="H43">
        <v>8.7750000000000004</v>
      </c>
      <c r="I43">
        <v>10.308999999999999</v>
      </c>
      <c r="J43">
        <v>9.4359999999999999</v>
      </c>
      <c r="K43">
        <v>7.508</v>
      </c>
      <c r="L43">
        <v>4.57</v>
      </c>
      <c r="M43">
        <v>0.185</v>
      </c>
      <c r="N43" s="31">
        <f t="shared" si="0"/>
        <v>-5.4089999999999998</v>
      </c>
      <c r="O43">
        <v>5491</v>
      </c>
      <c r="P43">
        <v>3453</v>
      </c>
      <c r="Q43">
        <v>3745</v>
      </c>
      <c r="R43">
        <v>6627</v>
      </c>
      <c r="S43">
        <v>1716</v>
      </c>
      <c r="T43">
        <v>4594</v>
      </c>
      <c r="U43">
        <v>888</v>
      </c>
      <c r="V43">
        <v>1017</v>
      </c>
      <c r="W43">
        <v>484</v>
      </c>
      <c r="X43">
        <v>909</v>
      </c>
      <c r="Y43">
        <v>28923</v>
      </c>
    </row>
    <row r="44" spans="1:25" x14ac:dyDescent="0.25">
      <c r="A44">
        <v>1989</v>
      </c>
      <c r="B44">
        <v>-3.4750000000000001</v>
      </c>
      <c r="C44">
        <v>-0.32900000000000001</v>
      </c>
      <c r="D44">
        <v>-0.45800000000000002</v>
      </c>
      <c r="E44">
        <v>-3.3000000000000002E-2</v>
      </c>
      <c r="F44">
        <v>1.84</v>
      </c>
      <c r="G44">
        <v>4.8179999999999996</v>
      </c>
      <c r="H44">
        <v>8.1739999999999995</v>
      </c>
      <c r="I44">
        <v>10.475</v>
      </c>
      <c r="J44">
        <v>9.7170000000000005</v>
      </c>
      <c r="K44">
        <v>7.0430000000000001</v>
      </c>
      <c r="L44">
        <v>4.157</v>
      </c>
      <c r="M44">
        <v>1.0069999999999999</v>
      </c>
      <c r="N44" s="31">
        <f t="shared" si="0"/>
        <v>-5.4909999999999997</v>
      </c>
      <c r="O44">
        <v>10357</v>
      </c>
      <c r="P44">
        <v>2232</v>
      </c>
      <c r="Q44">
        <v>2189</v>
      </c>
      <c r="R44">
        <v>2565</v>
      </c>
      <c r="S44">
        <v>4554</v>
      </c>
      <c r="T44">
        <v>1104</v>
      </c>
      <c r="U44">
        <v>2955</v>
      </c>
      <c r="V44">
        <v>540</v>
      </c>
      <c r="W44">
        <v>627</v>
      </c>
      <c r="X44">
        <v>859</v>
      </c>
      <c r="Y44">
        <v>27981</v>
      </c>
    </row>
    <row r="45" spans="1:25" x14ac:dyDescent="0.25">
      <c r="A45">
        <v>1990</v>
      </c>
      <c r="B45">
        <v>0.375</v>
      </c>
      <c r="C45">
        <v>-1.4590000000000001</v>
      </c>
      <c r="D45">
        <v>-1.8959999999999999</v>
      </c>
      <c r="E45">
        <v>0.20300000000000001</v>
      </c>
      <c r="F45">
        <v>2.1789999999999998</v>
      </c>
      <c r="G45">
        <v>5.4119999999999999</v>
      </c>
      <c r="H45">
        <v>9.0649999999999995</v>
      </c>
      <c r="I45">
        <v>10.176</v>
      </c>
      <c r="J45">
        <v>9.0239999999999991</v>
      </c>
      <c r="K45">
        <v>6.8639999999999999</v>
      </c>
      <c r="L45">
        <v>4.7530000000000001</v>
      </c>
      <c r="M45">
        <v>1.5529999999999999</v>
      </c>
      <c r="N45" s="31">
        <f t="shared" si="0"/>
        <v>-5.0629999999999997</v>
      </c>
      <c r="O45">
        <v>50175</v>
      </c>
      <c r="P45">
        <v>4210</v>
      </c>
      <c r="Q45">
        <v>1416</v>
      </c>
      <c r="R45">
        <v>1558</v>
      </c>
      <c r="S45">
        <v>1740</v>
      </c>
      <c r="T45">
        <v>2989</v>
      </c>
      <c r="U45">
        <v>695</v>
      </c>
      <c r="V45">
        <v>1761</v>
      </c>
      <c r="W45">
        <v>325</v>
      </c>
      <c r="X45">
        <v>906</v>
      </c>
      <c r="Y45">
        <v>65775</v>
      </c>
    </row>
    <row r="46" spans="1:25" x14ac:dyDescent="0.25">
      <c r="A46">
        <v>1991</v>
      </c>
      <c r="B46">
        <v>-4.9000000000000002E-2</v>
      </c>
      <c r="C46">
        <v>-3.339</v>
      </c>
      <c r="D46">
        <v>-1.1579999999999999</v>
      </c>
      <c r="E46">
        <v>-0.04</v>
      </c>
      <c r="F46">
        <v>1.827</v>
      </c>
      <c r="G46">
        <v>4.742</v>
      </c>
      <c r="H46">
        <v>8.6709999999999994</v>
      </c>
      <c r="I46">
        <v>10.217000000000001</v>
      </c>
      <c r="J46">
        <v>9.4529999999999994</v>
      </c>
      <c r="K46">
        <v>7.4790000000000001</v>
      </c>
      <c r="L46">
        <v>5.5229999999999997</v>
      </c>
      <c r="M46">
        <v>2.395</v>
      </c>
      <c r="N46" s="31">
        <f t="shared" si="0"/>
        <v>-5.4340000000000002</v>
      </c>
      <c r="O46">
        <v>25582</v>
      </c>
      <c r="P46">
        <v>20397</v>
      </c>
      <c r="Q46">
        <v>2662</v>
      </c>
      <c r="R46">
        <v>1003</v>
      </c>
      <c r="S46">
        <v>973</v>
      </c>
      <c r="T46">
        <v>1023</v>
      </c>
      <c r="U46">
        <v>1724</v>
      </c>
      <c r="V46">
        <v>392</v>
      </c>
      <c r="W46">
        <v>982</v>
      </c>
      <c r="X46">
        <v>708</v>
      </c>
      <c r="Y46">
        <v>55445</v>
      </c>
    </row>
    <row r="47" spans="1:25" x14ac:dyDescent="0.25">
      <c r="A47">
        <v>1992</v>
      </c>
      <c r="B47">
        <v>1.0369999999999999</v>
      </c>
      <c r="C47">
        <v>-2.6859999999999999</v>
      </c>
      <c r="D47">
        <v>-3.609</v>
      </c>
      <c r="E47">
        <v>-0.52100000000000002</v>
      </c>
      <c r="F47">
        <v>1.573</v>
      </c>
      <c r="G47">
        <v>5.0869999999999997</v>
      </c>
      <c r="H47">
        <v>8.032</v>
      </c>
      <c r="I47">
        <v>9.2520000000000007</v>
      </c>
      <c r="J47">
        <v>8.7159999999999993</v>
      </c>
      <c r="K47">
        <v>6.4</v>
      </c>
      <c r="L47">
        <v>3.55</v>
      </c>
      <c r="M47">
        <v>2.2269999999999999</v>
      </c>
      <c r="N47" s="31">
        <f t="shared" si="0"/>
        <v>-5.1300000000000008</v>
      </c>
      <c r="O47">
        <v>22047</v>
      </c>
      <c r="P47">
        <v>10400</v>
      </c>
      <c r="Q47">
        <v>12903</v>
      </c>
      <c r="R47">
        <v>1918</v>
      </c>
      <c r="S47">
        <v>658</v>
      </c>
      <c r="T47">
        <v>585</v>
      </c>
      <c r="U47">
        <v>591</v>
      </c>
      <c r="V47">
        <v>912</v>
      </c>
      <c r="W47">
        <v>219</v>
      </c>
      <c r="X47">
        <v>903</v>
      </c>
      <c r="Y47">
        <v>51136</v>
      </c>
    </row>
    <row r="48" spans="1:25" x14ac:dyDescent="0.25">
      <c r="A48">
        <v>1993</v>
      </c>
      <c r="B48">
        <v>-0.92300000000000004</v>
      </c>
      <c r="C48">
        <v>-2.048</v>
      </c>
      <c r="D48">
        <v>-2.8000000000000001E-2</v>
      </c>
      <c r="E48">
        <v>1.3740000000000001</v>
      </c>
      <c r="F48">
        <v>3.1789999999999998</v>
      </c>
      <c r="G48">
        <v>6.29</v>
      </c>
      <c r="H48">
        <v>8.6120000000000001</v>
      </c>
      <c r="I48">
        <v>10.662000000000001</v>
      </c>
      <c r="J48">
        <v>9.5570000000000004</v>
      </c>
      <c r="K48">
        <v>7.516</v>
      </c>
      <c r="L48">
        <v>6.242</v>
      </c>
      <c r="M48">
        <v>4.3170000000000002</v>
      </c>
      <c r="N48" s="31">
        <f t="shared" si="0"/>
        <v>-2.9620000000000006</v>
      </c>
      <c r="O48">
        <v>47813</v>
      </c>
      <c r="P48">
        <v>8963</v>
      </c>
      <c r="Q48">
        <v>6567</v>
      </c>
      <c r="R48">
        <v>8946</v>
      </c>
      <c r="S48">
        <v>1282</v>
      </c>
      <c r="T48">
        <v>409</v>
      </c>
      <c r="U48">
        <v>320</v>
      </c>
      <c r="V48">
        <v>297</v>
      </c>
      <c r="W48">
        <v>429</v>
      </c>
      <c r="X48">
        <v>515</v>
      </c>
      <c r="Y48">
        <v>75541</v>
      </c>
    </row>
    <row r="49" spans="1:43" x14ac:dyDescent="0.25">
      <c r="A49">
        <v>1994</v>
      </c>
      <c r="B49">
        <v>2.2959999999999998</v>
      </c>
      <c r="C49">
        <v>1.6319999999999999</v>
      </c>
      <c r="D49">
        <v>-2.42</v>
      </c>
      <c r="E49">
        <v>0.40300000000000002</v>
      </c>
      <c r="F49">
        <v>2.133</v>
      </c>
      <c r="G49">
        <v>4.9749999999999996</v>
      </c>
      <c r="H49">
        <v>8.1709999999999994</v>
      </c>
      <c r="I49">
        <v>9.7119999999999997</v>
      </c>
      <c r="J49">
        <v>9.31</v>
      </c>
      <c r="K49">
        <v>6.4989999999999997</v>
      </c>
      <c r="L49">
        <v>3.8069999999999999</v>
      </c>
      <c r="M49">
        <v>1.988</v>
      </c>
      <c r="N49" s="31">
        <f t="shared" si="0"/>
        <v>-5.6870000000000012</v>
      </c>
      <c r="O49">
        <v>14782</v>
      </c>
      <c r="P49">
        <v>19438</v>
      </c>
      <c r="Q49">
        <v>5700</v>
      </c>
      <c r="R49">
        <v>4652</v>
      </c>
      <c r="S49">
        <v>5662</v>
      </c>
      <c r="T49">
        <v>836</v>
      </c>
      <c r="U49">
        <v>246</v>
      </c>
      <c r="V49">
        <v>181</v>
      </c>
      <c r="W49">
        <v>167</v>
      </c>
      <c r="X49">
        <v>538</v>
      </c>
      <c r="Y49">
        <v>52203</v>
      </c>
    </row>
    <row r="50" spans="1:43" x14ac:dyDescent="0.25">
      <c r="A50">
        <v>1995</v>
      </c>
      <c r="B50">
        <v>4.1000000000000002E-2</v>
      </c>
      <c r="C50">
        <v>-0.67700000000000005</v>
      </c>
      <c r="D50">
        <v>-1.677</v>
      </c>
      <c r="E50">
        <v>-1.0960000000000001</v>
      </c>
      <c r="F50">
        <v>1.298</v>
      </c>
      <c r="G50">
        <v>5.508</v>
      </c>
      <c r="H50">
        <v>8.5079999999999991</v>
      </c>
      <c r="I50">
        <v>9.86</v>
      </c>
      <c r="J50">
        <v>10.083</v>
      </c>
      <c r="K50">
        <v>7.71</v>
      </c>
      <c r="L50">
        <v>4.7939999999999996</v>
      </c>
      <c r="M50">
        <v>2.3580000000000001</v>
      </c>
      <c r="N50" s="31">
        <f t="shared" si="0"/>
        <v>-4.2039999999999997</v>
      </c>
      <c r="O50">
        <v>10798</v>
      </c>
      <c r="P50">
        <v>6010</v>
      </c>
      <c r="Q50">
        <v>12367</v>
      </c>
      <c r="R50">
        <v>4163</v>
      </c>
      <c r="S50">
        <v>3154</v>
      </c>
      <c r="T50">
        <v>3305</v>
      </c>
      <c r="U50">
        <v>496</v>
      </c>
      <c r="V50">
        <v>146</v>
      </c>
      <c r="W50">
        <v>108</v>
      </c>
      <c r="X50">
        <v>427</v>
      </c>
      <c r="Y50">
        <v>40973</v>
      </c>
    </row>
    <row r="51" spans="1:43" x14ac:dyDescent="0.25">
      <c r="A51">
        <v>1996</v>
      </c>
      <c r="B51">
        <v>1.8480000000000001</v>
      </c>
      <c r="C51">
        <v>0.16700000000000001</v>
      </c>
      <c r="D51">
        <v>0.54200000000000004</v>
      </c>
      <c r="E51">
        <v>0.68799999999999994</v>
      </c>
      <c r="F51">
        <v>2.5049999999999999</v>
      </c>
      <c r="G51">
        <v>5.5209999999999999</v>
      </c>
      <c r="H51">
        <v>7.9980000000000002</v>
      </c>
      <c r="I51">
        <v>9.2799999999999994</v>
      </c>
      <c r="J51">
        <v>9.2149999999999999</v>
      </c>
      <c r="K51">
        <v>6.9189999999999996</v>
      </c>
      <c r="L51">
        <v>4.9489999999999998</v>
      </c>
      <c r="M51">
        <v>2.7290000000000001</v>
      </c>
      <c r="N51" s="31">
        <f t="shared" si="0"/>
        <v>-4.3389999999999995</v>
      </c>
      <c r="O51">
        <v>23219</v>
      </c>
      <c r="P51">
        <v>4390</v>
      </c>
      <c r="Q51">
        <v>3824</v>
      </c>
      <c r="R51">
        <v>9079</v>
      </c>
      <c r="S51">
        <v>2965</v>
      </c>
      <c r="T51">
        <v>2003</v>
      </c>
      <c r="U51">
        <v>1801</v>
      </c>
      <c r="V51">
        <v>280</v>
      </c>
      <c r="W51">
        <v>84</v>
      </c>
      <c r="X51">
        <v>317</v>
      </c>
      <c r="Y51">
        <v>47961</v>
      </c>
    </row>
    <row r="52" spans="1:43" x14ac:dyDescent="0.25">
      <c r="A52">
        <v>1997</v>
      </c>
      <c r="B52">
        <v>0.52700000000000002</v>
      </c>
      <c r="C52">
        <v>-0.94399999999999995</v>
      </c>
      <c r="D52">
        <v>-1.2350000000000001</v>
      </c>
      <c r="E52">
        <v>-0.36099999999999999</v>
      </c>
      <c r="F52">
        <v>1.7470000000000001</v>
      </c>
      <c r="G52">
        <v>6.6879999999999997</v>
      </c>
      <c r="H52">
        <v>9.6300000000000008</v>
      </c>
      <c r="I52">
        <v>11.787000000000001</v>
      </c>
      <c r="J52">
        <v>9.9440000000000008</v>
      </c>
      <c r="K52">
        <v>7.9429999999999996</v>
      </c>
      <c r="L52">
        <v>5.3410000000000002</v>
      </c>
      <c r="M52">
        <v>2.742</v>
      </c>
      <c r="N52" s="31">
        <f t="shared" si="0"/>
        <v>-2.5919999999999996</v>
      </c>
      <c r="O52">
        <v>31494</v>
      </c>
      <c r="P52">
        <v>9440</v>
      </c>
      <c r="Q52">
        <v>2785</v>
      </c>
      <c r="R52">
        <v>2790</v>
      </c>
      <c r="S52">
        <v>6625</v>
      </c>
      <c r="T52">
        <v>2035</v>
      </c>
      <c r="U52">
        <v>1144</v>
      </c>
      <c r="V52">
        <v>896</v>
      </c>
      <c r="W52">
        <v>143</v>
      </c>
      <c r="X52">
        <v>217</v>
      </c>
      <c r="Y52">
        <v>57569</v>
      </c>
    </row>
    <row r="53" spans="1:43" x14ac:dyDescent="0.25">
      <c r="A53">
        <v>1998</v>
      </c>
      <c r="B53">
        <v>-1.7</v>
      </c>
      <c r="C53">
        <v>-2.6139999999999999</v>
      </c>
      <c r="D53">
        <v>-3.5999999999999997E-2</v>
      </c>
      <c r="E53">
        <v>1.1619999999999999</v>
      </c>
      <c r="F53">
        <v>1.8740000000000001</v>
      </c>
      <c r="G53">
        <v>4.9649999999999999</v>
      </c>
      <c r="H53">
        <v>8.8230000000000004</v>
      </c>
      <c r="I53">
        <v>10.103999999999999</v>
      </c>
      <c r="J53">
        <v>8.2919999999999998</v>
      </c>
      <c r="K53">
        <v>6.8490000000000002</v>
      </c>
      <c r="L53">
        <v>5.5119999999999996</v>
      </c>
      <c r="M53">
        <v>3.03</v>
      </c>
      <c r="N53" s="31">
        <f t="shared" si="0"/>
        <v>-6.822000000000001</v>
      </c>
      <c r="O53">
        <v>15700</v>
      </c>
      <c r="P53">
        <v>12804</v>
      </c>
      <c r="Q53">
        <v>5964</v>
      </c>
      <c r="R53">
        <v>2029</v>
      </c>
      <c r="S53">
        <v>1982</v>
      </c>
      <c r="T53">
        <v>4505</v>
      </c>
      <c r="U53">
        <v>1263</v>
      </c>
      <c r="V53">
        <v>629</v>
      </c>
      <c r="W53">
        <v>484</v>
      </c>
      <c r="X53">
        <v>190</v>
      </c>
      <c r="Y53">
        <v>45549</v>
      </c>
    </row>
    <row r="54" spans="1:43" x14ac:dyDescent="0.25">
      <c r="A54">
        <v>1999</v>
      </c>
      <c r="B54">
        <v>1.3049999999999999</v>
      </c>
      <c r="C54">
        <v>-3.3919999999999999</v>
      </c>
      <c r="D54">
        <v>-3.8330000000000002</v>
      </c>
      <c r="E54">
        <v>-0.80300000000000005</v>
      </c>
      <c r="F54">
        <v>0.67100000000000004</v>
      </c>
      <c r="G54">
        <v>3.3210000000000002</v>
      </c>
      <c r="H54">
        <v>7.423</v>
      </c>
      <c r="I54">
        <v>8.2530000000000001</v>
      </c>
      <c r="J54">
        <v>8.6760000000000002</v>
      </c>
      <c r="K54">
        <v>6.9630000000000001</v>
      </c>
      <c r="L54">
        <v>3.6240000000000001</v>
      </c>
      <c r="M54">
        <v>0.30199999999999999</v>
      </c>
      <c r="N54" s="31">
        <f t="shared" si="0"/>
        <v>-6.7829999999999995</v>
      </c>
      <c r="O54">
        <v>17239</v>
      </c>
      <c r="P54">
        <v>6383</v>
      </c>
      <c r="Q54">
        <v>8124</v>
      </c>
      <c r="R54">
        <v>4335</v>
      </c>
      <c r="S54">
        <v>1439</v>
      </c>
      <c r="T54">
        <v>1339</v>
      </c>
      <c r="U54">
        <v>2760</v>
      </c>
      <c r="V54">
        <v>770</v>
      </c>
      <c r="W54">
        <v>357</v>
      </c>
      <c r="X54">
        <v>365</v>
      </c>
      <c r="Y54">
        <v>43112</v>
      </c>
    </row>
    <row r="55" spans="1:43" x14ac:dyDescent="0.25">
      <c r="A55">
        <v>2000</v>
      </c>
      <c r="B55">
        <v>-7.375</v>
      </c>
      <c r="C55">
        <v>-0.88300000000000001</v>
      </c>
      <c r="D55">
        <v>0.2</v>
      </c>
      <c r="E55">
        <v>0.251</v>
      </c>
      <c r="F55">
        <v>1.77</v>
      </c>
      <c r="G55">
        <v>4.9790000000000001</v>
      </c>
      <c r="H55">
        <v>8.3919999999999995</v>
      </c>
      <c r="I55">
        <v>9.218</v>
      </c>
      <c r="J55">
        <v>8.6530000000000005</v>
      </c>
      <c r="K55">
        <v>6.8940000000000001</v>
      </c>
      <c r="L55">
        <v>5.4459999999999997</v>
      </c>
      <c r="M55">
        <v>3.9049999999999998</v>
      </c>
      <c r="N55" s="31">
        <f t="shared" si="0"/>
        <v>-3.274</v>
      </c>
      <c r="O55">
        <v>26601</v>
      </c>
      <c r="P55">
        <v>7009</v>
      </c>
      <c r="Q55">
        <v>4059</v>
      </c>
      <c r="R55">
        <v>5776</v>
      </c>
      <c r="S55">
        <v>3020</v>
      </c>
      <c r="T55">
        <v>977</v>
      </c>
      <c r="U55">
        <v>864</v>
      </c>
      <c r="V55">
        <v>1650</v>
      </c>
      <c r="W55">
        <v>463</v>
      </c>
      <c r="X55">
        <v>441</v>
      </c>
      <c r="Y55">
        <v>50860</v>
      </c>
    </row>
    <row r="56" spans="1:43" s="1" customFormat="1" x14ac:dyDescent="0.25">
      <c r="A56" s="1">
        <v>2001</v>
      </c>
      <c r="B56" s="1">
        <v>2.8639999999999999</v>
      </c>
      <c r="C56" s="1">
        <v>2.99</v>
      </c>
      <c r="D56" s="1">
        <v>2.3780000000000001</v>
      </c>
      <c r="E56" s="1">
        <v>1.3240000000000001</v>
      </c>
      <c r="F56" s="1">
        <v>2.5259999999999998</v>
      </c>
      <c r="G56" s="1">
        <v>5.3109999999999999</v>
      </c>
      <c r="H56" s="1">
        <v>7.9249999999999998</v>
      </c>
      <c r="I56" s="1">
        <v>9.6379999999999999</v>
      </c>
      <c r="J56" s="1">
        <v>9.1839999999999993</v>
      </c>
      <c r="K56" s="1">
        <v>7.4470000000000001</v>
      </c>
      <c r="L56" s="1">
        <v>4.2309999999999999</v>
      </c>
      <c r="M56" s="1">
        <v>1.702</v>
      </c>
      <c r="N56" s="31">
        <f t="shared" si="0"/>
        <v>-3.907</v>
      </c>
      <c r="O56" s="1">
        <v>35891</v>
      </c>
      <c r="P56" s="1">
        <v>10815</v>
      </c>
      <c r="Q56" s="1">
        <v>4458</v>
      </c>
      <c r="R56" s="1">
        <v>2937</v>
      </c>
      <c r="S56" s="1">
        <v>3918</v>
      </c>
      <c r="T56" s="1">
        <v>1946</v>
      </c>
      <c r="U56" s="1">
        <v>631</v>
      </c>
      <c r="V56" s="1">
        <v>504</v>
      </c>
      <c r="W56" s="1">
        <v>926</v>
      </c>
      <c r="X56" s="1">
        <v>537</v>
      </c>
      <c r="Y56" s="1">
        <v>62563</v>
      </c>
      <c r="AA56" s="31"/>
      <c r="AB56"/>
      <c r="AC56"/>
      <c r="AE56"/>
      <c r="AQ56"/>
    </row>
    <row r="57" spans="1:43" s="1" customFormat="1" x14ac:dyDescent="0.25">
      <c r="A57" s="1">
        <v>2002</v>
      </c>
      <c r="B57" s="1">
        <v>-0.874</v>
      </c>
      <c r="C57" s="1">
        <v>-4.069</v>
      </c>
      <c r="D57" s="1">
        <v>7.4999999999999997E-2</v>
      </c>
      <c r="E57" s="1">
        <v>0.45600000000000002</v>
      </c>
      <c r="F57" s="1">
        <v>2.4980000000000002</v>
      </c>
      <c r="G57" s="1">
        <v>5.68</v>
      </c>
      <c r="H57" s="1">
        <v>9.7289999999999992</v>
      </c>
      <c r="I57" s="1">
        <v>11.176</v>
      </c>
      <c r="J57" s="1">
        <v>10.176</v>
      </c>
      <c r="K57" s="1">
        <v>8.01</v>
      </c>
      <c r="L57" s="1">
        <v>6.1559999999999997</v>
      </c>
      <c r="M57" s="1">
        <v>4.9729999999999999</v>
      </c>
      <c r="N57" s="31">
        <f t="shared" si="0"/>
        <v>-3.9580000000000002</v>
      </c>
      <c r="O57" s="1">
        <v>23356</v>
      </c>
      <c r="P57" s="1">
        <v>14592</v>
      </c>
      <c r="Q57" s="1">
        <v>6885</v>
      </c>
      <c r="R57" s="1">
        <v>3249</v>
      </c>
      <c r="S57" s="1">
        <v>2031</v>
      </c>
      <c r="T57" s="1">
        <v>2392</v>
      </c>
      <c r="U57" s="1">
        <v>1090</v>
      </c>
      <c r="V57" s="1">
        <v>357</v>
      </c>
      <c r="W57" s="1">
        <v>286</v>
      </c>
      <c r="X57" s="1">
        <v>846</v>
      </c>
      <c r="Y57" s="1">
        <v>55083</v>
      </c>
      <c r="AA57" s="31"/>
      <c r="AB57"/>
      <c r="AC57"/>
      <c r="AE57"/>
      <c r="AQ57"/>
    </row>
    <row r="58" spans="1:43" s="1" customFormat="1" x14ac:dyDescent="0.25">
      <c r="A58" s="1">
        <v>2003</v>
      </c>
      <c r="B58" s="1">
        <v>2.9129999999999998</v>
      </c>
      <c r="C58" s="1">
        <v>2.4129999999999998</v>
      </c>
      <c r="D58" s="1">
        <v>2.2890000000000001</v>
      </c>
      <c r="E58" s="1">
        <v>1.4610000000000001</v>
      </c>
      <c r="F58" s="1">
        <v>3.274</v>
      </c>
      <c r="G58" s="1">
        <v>6.3760000000000003</v>
      </c>
      <c r="H58" s="1">
        <v>9.032</v>
      </c>
      <c r="I58" s="1">
        <v>11.041</v>
      </c>
      <c r="J58" s="1">
        <v>10.862</v>
      </c>
      <c r="K58" s="1">
        <v>8.4239999999999995</v>
      </c>
      <c r="L58" s="1">
        <v>5.718</v>
      </c>
      <c r="M58" s="1">
        <v>3.2280000000000002</v>
      </c>
      <c r="N58" s="31">
        <f t="shared" si="0"/>
        <v>-4.8</v>
      </c>
      <c r="O58" s="1">
        <v>14087</v>
      </c>
      <c r="P58" s="1">
        <v>9495</v>
      </c>
      <c r="Q58" s="1">
        <v>9269</v>
      </c>
      <c r="R58" s="1">
        <v>4997</v>
      </c>
      <c r="S58" s="1">
        <v>2221</v>
      </c>
      <c r="T58" s="1">
        <v>1257</v>
      </c>
      <c r="U58" s="1">
        <v>1249</v>
      </c>
      <c r="V58" s="1">
        <v>574</v>
      </c>
      <c r="W58" s="1">
        <v>190</v>
      </c>
      <c r="X58" s="1">
        <v>634</v>
      </c>
      <c r="Y58" s="1">
        <v>43972</v>
      </c>
      <c r="AA58" s="31"/>
      <c r="AB58"/>
      <c r="AC58"/>
      <c r="AE58"/>
      <c r="AQ58"/>
    </row>
    <row r="59" spans="1:43" s="1" customFormat="1" x14ac:dyDescent="0.25">
      <c r="A59" s="1">
        <v>2004</v>
      </c>
      <c r="B59" s="1">
        <v>1.347</v>
      </c>
      <c r="C59" s="1">
        <v>0.73899999999999999</v>
      </c>
      <c r="D59" s="1">
        <v>1.0309999999999999</v>
      </c>
      <c r="E59" s="1">
        <v>0.43099999999999999</v>
      </c>
      <c r="F59" s="1">
        <v>3.2130000000000001</v>
      </c>
      <c r="G59" s="1">
        <v>6.1029999999999998</v>
      </c>
      <c r="H59" s="1">
        <v>10.769</v>
      </c>
      <c r="I59" s="1">
        <v>12.073</v>
      </c>
      <c r="J59" s="1">
        <v>11.472</v>
      </c>
      <c r="K59" s="1">
        <v>8.1940000000000008</v>
      </c>
      <c r="L59" s="1">
        <v>5.1639999999999997</v>
      </c>
      <c r="M59" s="1">
        <v>3.548</v>
      </c>
      <c r="N59" s="31">
        <f t="shared" si="0"/>
        <v>-4.9380000000000006</v>
      </c>
      <c r="O59" s="1">
        <v>6308</v>
      </c>
      <c r="P59" s="1">
        <v>5727</v>
      </c>
      <c r="Q59" s="1">
        <v>6039</v>
      </c>
      <c r="R59" s="1">
        <v>6528</v>
      </c>
      <c r="S59" s="1">
        <v>3414</v>
      </c>
      <c r="T59" s="1">
        <v>1327</v>
      </c>
      <c r="U59" s="1">
        <v>670</v>
      </c>
      <c r="V59" s="1">
        <v>637</v>
      </c>
      <c r="W59" s="1">
        <v>299</v>
      </c>
      <c r="X59" s="1">
        <v>466</v>
      </c>
      <c r="Y59" s="1">
        <v>31415</v>
      </c>
      <c r="AA59" s="31"/>
      <c r="AB59"/>
      <c r="AC59"/>
      <c r="AE59"/>
      <c r="AQ59"/>
    </row>
    <row r="60" spans="1:43" s="1" customFormat="1" x14ac:dyDescent="0.25">
      <c r="A60" s="1">
        <v>2005</v>
      </c>
      <c r="B60" s="1">
        <v>2.258</v>
      </c>
      <c r="C60" s="1">
        <v>1.752</v>
      </c>
      <c r="D60" s="1">
        <v>1.8680000000000001</v>
      </c>
      <c r="E60" s="1">
        <v>1.3340000000000001</v>
      </c>
      <c r="F60" s="1">
        <v>3.286</v>
      </c>
      <c r="G60" s="1">
        <v>6.6769999999999996</v>
      </c>
      <c r="H60" s="1">
        <v>10.445</v>
      </c>
      <c r="I60" s="1">
        <v>11.962999999999999</v>
      </c>
      <c r="J60" s="1">
        <v>9.8390000000000004</v>
      </c>
      <c r="K60" s="1">
        <v>8.2370000000000001</v>
      </c>
      <c r="L60" s="1">
        <v>4.9009999999999998</v>
      </c>
      <c r="M60" s="1">
        <v>2.371</v>
      </c>
      <c r="N60" s="31">
        <f t="shared" si="0"/>
        <v>-5.3960000000000008</v>
      </c>
      <c r="O60" s="1">
        <v>4471</v>
      </c>
      <c r="P60" s="1">
        <v>2565</v>
      </c>
      <c r="Q60" s="1">
        <v>3645</v>
      </c>
      <c r="R60" s="1">
        <v>4387</v>
      </c>
      <c r="S60" s="1">
        <v>4115</v>
      </c>
      <c r="T60" s="1">
        <v>2103</v>
      </c>
      <c r="U60" s="1">
        <v>771</v>
      </c>
      <c r="V60" s="1">
        <v>360</v>
      </c>
      <c r="W60" s="1">
        <v>345</v>
      </c>
      <c r="X60" s="1">
        <v>434</v>
      </c>
      <c r="Y60" s="1">
        <v>23197</v>
      </c>
      <c r="AA60" s="31"/>
      <c r="AB60"/>
      <c r="AC60"/>
      <c r="AE60"/>
    </row>
    <row r="61" spans="1:43" s="1" customFormat="1" x14ac:dyDescent="0.25">
      <c r="A61" s="1">
        <v>2006</v>
      </c>
      <c r="B61" s="1">
        <v>-1.224</v>
      </c>
      <c r="C61" s="1">
        <v>-1.117</v>
      </c>
      <c r="D61" s="1">
        <v>-0.10100000000000001</v>
      </c>
      <c r="E61" s="1">
        <v>1.2E-2</v>
      </c>
      <c r="F61" s="1">
        <v>1.036</v>
      </c>
      <c r="G61" s="1">
        <v>5.0940000000000003</v>
      </c>
      <c r="H61" s="1">
        <v>8.3000000000000007</v>
      </c>
      <c r="I61" s="1">
        <v>9.5640000000000001</v>
      </c>
      <c r="J61" s="1">
        <v>9.3249999999999993</v>
      </c>
      <c r="K61" s="1">
        <v>7.6210000000000004</v>
      </c>
      <c r="L61" s="1">
        <v>4.5330000000000004</v>
      </c>
      <c r="M61" s="1">
        <v>1.9650000000000001</v>
      </c>
      <c r="N61" s="31">
        <f t="shared" si="0"/>
        <v>-6.8689999999999989</v>
      </c>
      <c r="O61" s="1">
        <v>10740</v>
      </c>
      <c r="P61" s="1">
        <v>1818</v>
      </c>
      <c r="Q61" s="1">
        <v>1632</v>
      </c>
      <c r="R61" s="1">
        <v>2649</v>
      </c>
      <c r="S61" s="1">
        <v>2917</v>
      </c>
      <c r="T61" s="1">
        <v>2290</v>
      </c>
      <c r="U61" s="1">
        <v>1142</v>
      </c>
      <c r="V61" s="1">
        <v>433</v>
      </c>
      <c r="W61" s="1">
        <v>207</v>
      </c>
      <c r="X61" s="1">
        <v>462</v>
      </c>
      <c r="Y61" s="1">
        <v>24289</v>
      </c>
      <c r="AA61" s="31"/>
      <c r="AB61"/>
      <c r="AC61"/>
      <c r="AE61"/>
    </row>
    <row r="62" spans="1:43" s="1" customFormat="1" x14ac:dyDescent="0.25">
      <c r="A62" s="1">
        <v>2007</v>
      </c>
      <c r="B62" s="1">
        <v>-1.389</v>
      </c>
      <c r="C62" s="1">
        <v>0.46500000000000002</v>
      </c>
      <c r="D62" s="1">
        <v>-7.0650000000000004</v>
      </c>
      <c r="E62" s="1">
        <v>-0.80200000000000005</v>
      </c>
      <c r="F62" s="1">
        <v>0.93899999999999995</v>
      </c>
      <c r="G62" s="1">
        <v>4.8769999999999998</v>
      </c>
      <c r="H62" s="1">
        <v>8.0370000000000008</v>
      </c>
      <c r="I62" s="1">
        <v>10.507999999999999</v>
      </c>
      <c r="J62" s="1">
        <v>9.6880000000000006</v>
      </c>
      <c r="K62" s="1">
        <v>7.0279999999999996</v>
      </c>
      <c r="L62" s="1">
        <v>4.2140000000000004</v>
      </c>
      <c r="M62" s="1">
        <v>2.5830000000000002</v>
      </c>
      <c r="N62" s="31">
        <f t="shared" si="0"/>
        <v>-4.6870000000000003</v>
      </c>
      <c r="O62" s="1">
        <v>25683</v>
      </c>
      <c r="P62" s="1">
        <v>4366</v>
      </c>
      <c r="Q62" s="1">
        <v>1155</v>
      </c>
      <c r="R62" s="1">
        <v>1147</v>
      </c>
      <c r="S62" s="1">
        <v>1726</v>
      </c>
      <c r="T62" s="1">
        <v>1648</v>
      </c>
      <c r="U62" s="1">
        <v>1172</v>
      </c>
      <c r="V62" s="1">
        <v>598</v>
      </c>
      <c r="W62" s="1">
        <v>231</v>
      </c>
      <c r="X62" s="1">
        <v>374</v>
      </c>
      <c r="Y62" s="1">
        <v>38100</v>
      </c>
      <c r="AA62" s="31"/>
      <c r="AB62"/>
      <c r="AC62"/>
      <c r="AE62"/>
    </row>
    <row r="63" spans="1:43" s="1" customFormat="1" x14ac:dyDescent="0.25">
      <c r="A63" s="1">
        <v>2008</v>
      </c>
      <c r="B63" s="1">
        <v>-0.61299999999999999</v>
      </c>
      <c r="C63" s="1">
        <v>-6.3109999999999999</v>
      </c>
      <c r="D63" s="1">
        <v>-7.3739999999999997</v>
      </c>
      <c r="E63" s="1">
        <v>-2.262</v>
      </c>
      <c r="F63" s="1">
        <v>-0.104</v>
      </c>
      <c r="G63" s="1">
        <v>3.3650000000000002</v>
      </c>
      <c r="H63" s="1">
        <v>6.6020000000000003</v>
      </c>
      <c r="I63" s="1">
        <v>9.1880000000000006</v>
      </c>
      <c r="J63" s="1">
        <v>9.2929999999999993</v>
      </c>
      <c r="K63" s="1">
        <v>7.0540000000000003</v>
      </c>
      <c r="L63" s="1">
        <v>3.6179999999999999</v>
      </c>
      <c r="M63" s="1">
        <v>1.925</v>
      </c>
      <c r="N63" s="31">
        <f t="shared" si="0"/>
        <v>-7.1429999999999989</v>
      </c>
      <c r="O63" s="1">
        <v>8496</v>
      </c>
      <c r="P63" s="1">
        <v>10441</v>
      </c>
      <c r="Q63" s="1">
        <v>2773</v>
      </c>
      <c r="R63" s="1">
        <v>812</v>
      </c>
      <c r="S63" s="1">
        <v>745</v>
      </c>
      <c r="T63" s="1">
        <v>975</v>
      </c>
      <c r="U63" s="1">
        <v>808</v>
      </c>
      <c r="V63" s="1">
        <v>599</v>
      </c>
      <c r="W63" s="1">
        <v>319</v>
      </c>
      <c r="X63" s="1">
        <v>332</v>
      </c>
      <c r="Y63" s="1">
        <v>26300</v>
      </c>
      <c r="AA63" s="31"/>
      <c r="AB63"/>
      <c r="AC63"/>
      <c r="AE63"/>
    </row>
    <row r="64" spans="1:43" s="1" customFormat="1" x14ac:dyDescent="0.25">
      <c r="A64" s="1">
        <v>2009</v>
      </c>
      <c r="B64" s="1">
        <v>-3.7559999999999998</v>
      </c>
      <c r="C64" s="1">
        <v>-2.2519999999999998</v>
      </c>
      <c r="D64" s="1">
        <v>-3.375</v>
      </c>
      <c r="E64" s="1">
        <v>-2.3849999999999998</v>
      </c>
      <c r="F64" s="1">
        <v>0.73099999999999998</v>
      </c>
      <c r="G64" s="1">
        <v>3.6869999999999998</v>
      </c>
      <c r="H64" s="1">
        <v>7.8339999999999996</v>
      </c>
      <c r="I64" s="1">
        <v>9.3109999999999999</v>
      </c>
      <c r="J64" s="1">
        <v>9.0850000000000009</v>
      </c>
      <c r="K64" s="1">
        <v>7.1619999999999999</v>
      </c>
      <c r="L64" s="1">
        <v>4.3250000000000002</v>
      </c>
      <c r="M64" s="1">
        <v>2.2639999999999998</v>
      </c>
      <c r="N64" s="31">
        <f t="shared" si="0"/>
        <v>-5.5010000000000012</v>
      </c>
      <c r="O64" s="1">
        <v>43607</v>
      </c>
      <c r="P64" s="1">
        <v>3454</v>
      </c>
      <c r="Q64" s="1">
        <v>6638</v>
      </c>
      <c r="R64" s="1">
        <v>1999</v>
      </c>
      <c r="S64" s="1">
        <v>532</v>
      </c>
      <c r="T64" s="1">
        <v>423</v>
      </c>
      <c r="U64" s="1">
        <v>468</v>
      </c>
      <c r="V64" s="1">
        <v>398</v>
      </c>
      <c r="W64" s="1">
        <v>307</v>
      </c>
      <c r="X64" s="1">
        <v>345</v>
      </c>
      <c r="Y64" s="1">
        <v>58171</v>
      </c>
      <c r="AA64" s="31"/>
      <c r="AB64"/>
      <c r="AC64"/>
      <c r="AE64"/>
    </row>
    <row r="65" spans="1:31" s="1" customFormat="1" x14ac:dyDescent="0.25">
      <c r="A65" s="1">
        <v>2010</v>
      </c>
      <c r="B65" s="1">
        <v>0.28199999999999997</v>
      </c>
      <c r="C65" s="1">
        <v>-2.2229999999999999</v>
      </c>
      <c r="D65" s="1">
        <v>-8.2230000000000008</v>
      </c>
      <c r="E65" s="1">
        <v>-2.621</v>
      </c>
      <c r="F65" s="1">
        <v>8.2000000000000003E-2</v>
      </c>
      <c r="G65" s="1">
        <v>3.3090000000000002</v>
      </c>
      <c r="H65" s="1">
        <v>6.7850000000000001</v>
      </c>
      <c r="I65" s="1">
        <v>8.3369999999999997</v>
      </c>
      <c r="J65" s="1">
        <v>9.1310000000000002</v>
      </c>
      <c r="K65" s="1">
        <v>6.7430000000000003</v>
      </c>
      <c r="L65" s="1">
        <v>4.2489999999999997</v>
      </c>
      <c r="M65" s="1">
        <v>1.7190000000000001</v>
      </c>
      <c r="N65" s="31">
        <f t="shared" si="0"/>
        <v>-6.0019999999999998</v>
      </c>
      <c r="O65" s="1">
        <v>19133</v>
      </c>
      <c r="P65" s="1">
        <v>17729</v>
      </c>
      <c r="Q65" s="1">
        <v>2199</v>
      </c>
      <c r="R65" s="1">
        <v>4765</v>
      </c>
      <c r="S65" s="1">
        <v>1320</v>
      </c>
      <c r="T65" s="1">
        <v>312</v>
      </c>
      <c r="U65" s="1">
        <v>225</v>
      </c>
      <c r="V65" s="1">
        <v>250</v>
      </c>
      <c r="W65" s="1">
        <v>214</v>
      </c>
      <c r="X65" s="1">
        <v>348</v>
      </c>
      <c r="Y65" s="1">
        <v>46493</v>
      </c>
      <c r="AA65" s="31"/>
      <c r="AB65"/>
      <c r="AC65"/>
      <c r="AE65"/>
    </row>
    <row r="66" spans="1:31" s="1" customFormat="1" x14ac:dyDescent="0.25">
      <c r="A66" s="1">
        <v>2011</v>
      </c>
      <c r="B66" s="1">
        <v>-0.69899999999999995</v>
      </c>
      <c r="C66" s="1">
        <v>-1.786</v>
      </c>
      <c r="D66" s="1">
        <v>-3.7229999999999999</v>
      </c>
      <c r="E66" s="1">
        <v>-1.4390000000000001</v>
      </c>
      <c r="F66" s="1">
        <v>1.004</v>
      </c>
      <c r="G66" s="1">
        <v>4.1059999999999999</v>
      </c>
      <c r="H66" s="1">
        <v>6.8650000000000002</v>
      </c>
      <c r="I66" s="1">
        <v>8.6470000000000002</v>
      </c>
      <c r="J66" s="1">
        <v>8.6110000000000007</v>
      </c>
      <c r="K66" s="1">
        <v>6.9160000000000004</v>
      </c>
      <c r="L66" s="1">
        <v>4.3570000000000002</v>
      </c>
      <c r="M66" s="1">
        <v>1.863</v>
      </c>
      <c r="N66" s="31">
        <f t="shared" si="0"/>
        <v>-4.2309999999999999</v>
      </c>
      <c r="O66" s="1">
        <v>18621</v>
      </c>
      <c r="P66" s="1">
        <v>7779</v>
      </c>
      <c r="Q66" s="1">
        <v>11284</v>
      </c>
      <c r="R66" s="1">
        <v>1600</v>
      </c>
      <c r="S66" s="1">
        <v>3043</v>
      </c>
      <c r="T66" s="1">
        <v>787</v>
      </c>
      <c r="U66" s="1">
        <v>182</v>
      </c>
      <c r="V66" s="1">
        <v>127</v>
      </c>
      <c r="W66" s="1">
        <v>139</v>
      </c>
      <c r="X66" s="1">
        <v>315</v>
      </c>
      <c r="Y66" s="1">
        <v>43876</v>
      </c>
      <c r="AA66" s="31"/>
      <c r="AB66"/>
      <c r="AC66"/>
      <c r="AE66"/>
    </row>
    <row r="67" spans="1:31" s="1" customFormat="1" x14ac:dyDescent="0.25">
      <c r="A67" s="1">
        <v>2012</v>
      </c>
      <c r="B67" s="1">
        <v>-6.9420000000000002</v>
      </c>
      <c r="C67" s="1">
        <v>-4.2380000000000004</v>
      </c>
      <c r="D67" s="1">
        <v>-9.9789999999999992</v>
      </c>
      <c r="E67" s="1">
        <v>-3.375</v>
      </c>
      <c r="F67" s="1">
        <v>-0.38</v>
      </c>
      <c r="G67" s="1">
        <v>3.0910000000000002</v>
      </c>
      <c r="H67" s="1">
        <v>6.2309999999999999</v>
      </c>
      <c r="I67" s="1">
        <v>8.4870000000000001</v>
      </c>
      <c r="J67" s="1">
        <v>7.9569999999999999</v>
      </c>
      <c r="K67" s="1">
        <v>6.23</v>
      </c>
      <c r="L67" s="1">
        <v>3.1680000000000001</v>
      </c>
      <c r="M67" s="1">
        <v>8.7999999999999995E-2</v>
      </c>
      <c r="N67" s="31">
        <f t="shared" si="0"/>
        <v>-5.556</v>
      </c>
      <c r="O67" s="1">
        <v>17451</v>
      </c>
      <c r="P67" s="1">
        <v>7570</v>
      </c>
      <c r="Q67" s="1">
        <v>4950</v>
      </c>
      <c r="R67" s="1">
        <v>8193</v>
      </c>
      <c r="S67" s="1">
        <v>1080</v>
      </c>
      <c r="T67" s="1">
        <v>1551</v>
      </c>
      <c r="U67" s="1">
        <v>359</v>
      </c>
      <c r="V67" s="1">
        <v>86</v>
      </c>
      <c r="W67" s="1">
        <v>61</v>
      </c>
      <c r="X67" s="1">
        <v>226</v>
      </c>
      <c r="Y67" s="1">
        <v>41527</v>
      </c>
      <c r="AA67" s="31"/>
      <c r="AB67"/>
      <c r="AC67"/>
    </row>
    <row r="68" spans="1:31" x14ac:dyDescent="0.25">
      <c r="A68">
        <v>2013</v>
      </c>
      <c r="B68">
        <v>-0.83299999999999996</v>
      </c>
      <c r="C68">
        <v>-5.1870000000000003</v>
      </c>
      <c r="D68">
        <v>-3.7269999999999999</v>
      </c>
      <c r="E68">
        <v>-1.6180000000000001</v>
      </c>
      <c r="F68">
        <v>0.55600000000000005</v>
      </c>
      <c r="G68">
        <v>4.5949999999999998</v>
      </c>
      <c r="H68" s="1">
        <v>7.6769999999999996</v>
      </c>
      <c r="I68" s="1">
        <v>10.426</v>
      </c>
      <c r="J68" s="1">
        <v>9.5190000000000001</v>
      </c>
      <c r="K68" s="1">
        <v>7.0339999999999998</v>
      </c>
      <c r="L68" s="1">
        <v>5.6319999999999997</v>
      </c>
      <c r="M68" s="1">
        <v>3.21</v>
      </c>
      <c r="N68" s="31">
        <f t="shared" si="0"/>
        <v>-3.8920000000000003</v>
      </c>
      <c r="AA68" s="31"/>
      <c r="AD68" s="1"/>
    </row>
    <row r="69" spans="1:31" x14ac:dyDescent="0.25">
      <c r="A69">
        <v>2014</v>
      </c>
      <c r="B69">
        <v>2.383</v>
      </c>
      <c r="C69">
        <v>1.659</v>
      </c>
      <c r="D69">
        <v>0.47499999999999998</v>
      </c>
      <c r="E69">
        <v>1.3540000000000001</v>
      </c>
      <c r="F69">
        <v>3.9049999999999998</v>
      </c>
      <c r="G69">
        <v>6.5869999999999997</v>
      </c>
      <c r="H69">
        <v>10.250999999999999</v>
      </c>
      <c r="I69" s="1">
        <v>12.718999999999999</v>
      </c>
      <c r="J69" s="1">
        <v>11.907</v>
      </c>
      <c r="K69" s="1">
        <v>8.4809999999999999</v>
      </c>
      <c r="L69" s="1">
        <v>5.665</v>
      </c>
      <c r="M69" s="1">
        <v>4.8239999999999998</v>
      </c>
      <c r="N69" s="31">
        <f t="shared" si="0"/>
        <v>-3.8390000000000004</v>
      </c>
      <c r="AA69" s="31"/>
      <c r="AD69" s="1"/>
    </row>
    <row r="70" spans="1:31" x14ac:dyDescent="0.25">
      <c r="A70">
        <v>2015</v>
      </c>
      <c r="B70">
        <v>3.2269999999999999</v>
      </c>
      <c r="C70">
        <v>1.655</v>
      </c>
      <c r="D70">
        <v>1.5349999999999999</v>
      </c>
      <c r="E70">
        <v>1.696</v>
      </c>
      <c r="F70">
        <v>3.536</v>
      </c>
      <c r="G70">
        <v>6.7629999999999999</v>
      </c>
      <c r="H70">
        <v>10.077</v>
      </c>
      <c r="I70" s="31">
        <v>11.686999999999999</v>
      </c>
      <c r="J70" s="1">
        <v>10.683</v>
      </c>
      <c r="K70" s="1">
        <v>8.5760000000000005</v>
      </c>
      <c r="L70" s="1">
        <v>6.282</v>
      </c>
      <c r="M70" s="1">
        <v>3.9510000000000001</v>
      </c>
      <c r="N70" s="31">
        <f>G70-I69</f>
        <v>-5.9559999999999995</v>
      </c>
      <c r="AA70" s="31"/>
      <c r="AD70" s="1"/>
    </row>
    <row r="71" spans="1:31" x14ac:dyDescent="0.25">
      <c r="A71">
        <v>2016</v>
      </c>
      <c r="B71">
        <v>2.9980000000000002</v>
      </c>
      <c r="C71">
        <v>2.6709999999999998</v>
      </c>
      <c r="D71">
        <v>2.5470000000000002</v>
      </c>
      <c r="E71">
        <v>2.8610000000000002</v>
      </c>
      <c r="F71">
        <v>5.149</v>
      </c>
      <c r="G71">
        <v>8.4969999999999999</v>
      </c>
      <c r="H71">
        <v>11.795999999999999</v>
      </c>
      <c r="I71" s="1">
        <v>12.997</v>
      </c>
      <c r="J71" s="1">
        <v>12.298</v>
      </c>
      <c r="K71" s="1">
        <v>9.7059999999999995</v>
      </c>
      <c r="L71" s="1">
        <v>7.1420000000000003</v>
      </c>
      <c r="M71" s="1">
        <v>3.1739999999999999</v>
      </c>
      <c r="N71" s="31">
        <f>G71-I70</f>
        <v>-3.1899999999999995</v>
      </c>
      <c r="AA71" s="31"/>
    </row>
    <row r="72" spans="1:31" x14ac:dyDescent="0.25">
      <c r="A72">
        <v>2017</v>
      </c>
      <c r="B72">
        <v>1.996</v>
      </c>
      <c r="C72">
        <v>0.22800000000000001</v>
      </c>
      <c r="D72">
        <v>-1.2949999999999999</v>
      </c>
      <c r="E72">
        <v>4.3999999999999997E-2</v>
      </c>
      <c r="F72">
        <v>2.8149999999999999</v>
      </c>
      <c r="G72">
        <v>6.391</v>
      </c>
      <c r="H72">
        <v>8.8770000000000007</v>
      </c>
      <c r="I72" s="1">
        <v>10.67</v>
      </c>
      <c r="J72" s="1">
        <v>9.0315999999999992</v>
      </c>
      <c r="K72" s="1">
        <v>7.593</v>
      </c>
      <c r="L72" s="1">
        <v>6.0049999999999999</v>
      </c>
      <c r="M72" s="1">
        <v>3.093</v>
      </c>
      <c r="N72" s="31">
        <f>G72-I71</f>
        <v>-6.6059999999999999</v>
      </c>
    </row>
    <row r="73" spans="1:31" x14ac:dyDescent="0.25">
      <c r="A73">
        <v>2018</v>
      </c>
      <c r="B73">
        <v>1.516</v>
      </c>
      <c r="C73">
        <v>0.81399999999999995</v>
      </c>
      <c r="D73">
        <v>1.4570000000000001</v>
      </c>
      <c r="E73">
        <v>2.0579999999999998</v>
      </c>
      <c r="F73">
        <v>3.62</v>
      </c>
      <c r="G73">
        <v>6.6079999999999997</v>
      </c>
      <c r="H73">
        <v>9.5719999999999992</v>
      </c>
      <c r="N73" s="31">
        <f>G73-I72</f>
        <v>-4.0620000000000003</v>
      </c>
    </row>
    <row r="74" spans="1:31" x14ac:dyDescent="0.25">
      <c r="E74">
        <f>180-161.2</f>
        <v>18.800000000000011</v>
      </c>
      <c r="F74">
        <f>180-166.9</f>
        <v>13.099999999999994</v>
      </c>
      <c r="O74">
        <v>22017.163265306124</v>
      </c>
      <c r="P74">
        <v>8873.3265306122448</v>
      </c>
      <c r="Q74">
        <v>5460.6734693877552</v>
      </c>
      <c r="R74">
        <v>3628</v>
      </c>
      <c r="S74">
        <v>2226.3061224489797</v>
      </c>
      <c r="T74">
        <v>1347.1224489795918</v>
      </c>
      <c r="U74">
        <v>759.48979591836735</v>
      </c>
      <c r="V74">
        <v>424.12244897959181</v>
      </c>
      <c r="W74">
        <v>237.48979591836735</v>
      </c>
      <c r="X74">
        <v>304.9387755102041</v>
      </c>
      <c r="Y74">
        <v>45278.510204081635</v>
      </c>
    </row>
    <row r="75" spans="1:31" x14ac:dyDescent="0.25">
      <c r="E75">
        <f>180+E74</f>
        <v>198.8</v>
      </c>
      <c r="F75">
        <f>180+F74</f>
        <v>193.1</v>
      </c>
      <c r="N75">
        <f>AVERAGE(N4:N69)</f>
        <v>-4.5676515151515131</v>
      </c>
      <c r="O75">
        <v>13145.997081410591</v>
      </c>
      <c r="P75">
        <v>5390.003569060952</v>
      </c>
      <c r="Q75">
        <v>3438.1315261572622</v>
      </c>
      <c r="R75">
        <v>2526.5518498538677</v>
      </c>
      <c r="S75">
        <v>1713.9165455675104</v>
      </c>
      <c r="T75">
        <v>1140.6353608233194</v>
      </c>
      <c r="U75">
        <v>711.55390761022045</v>
      </c>
      <c r="V75">
        <v>427.51635605421876</v>
      </c>
      <c r="W75">
        <v>251.46770190631008</v>
      </c>
      <c r="X75">
        <v>263.56327578047751</v>
      </c>
      <c r="Y75">
        <v>15425.003606323797</v>
      </c>
    </row>
    <row r="77" spans="1:31" x14ac:dyDescent="0.25">
      <c r="G77">
        <f>AVERAGE(G5:G71)</f>
        <v>5.1868208955223878</v>
      </c>
      <c r="I77">
        <f>AVERAGE(I5:I71)</f>
        <v>9.804985074626865</v>
      </c>
    </row>
  </sheetData>
  <printOptions gridLines="1"/>
  <pageMargins left="0.7" right="0.7" top="0.75" bottom="0.75" header="0.3" footer="0.3"/>
  <pageSetup scale="2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8"/>
  <sheetViews>
    <sheetView topLeftCell="B1" zoomScale="70" zoomScaleNormal="70" workbookViewId="0">
      <selection activeCell="U8" sqref="U8"/>
    </sheetView>
  </sheetViews>
  <sheetFormatPr defaultRowHeight="15" x14ac:dyDescent="0.25"/>
  <cols>
    <col min="1" max="1" width="11.85546875" customWidth="1"/>
    <col min="11" max="11" width="11.85546875" customWidth="1"/>
    <col min="21" max="21" width="14" bestFit="1" customWidth="1"/>
  </cols>
  <sheetData>
    <row r="1" spans="1:28" x14ac:dyDescent="0.25">
      <c r="U1" t="s">
        <v>40</v>
      </c>
      <c r="V1" t="s">
        <v>25</v>
      </c>
      <c r="W1" t="s">
        <v>22</v>
      </c>
    </row>
    <row r="2" spans="1:28" x14ac:dyDescent="0.25">
      <c r="A2" s="2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4" t="s">
        <v>19</v>
      </c>
      <c r="L2" s="10" t="s">
        <v>18</v>
      </c>
      <c r="M2" s="10"/>
      <c r="N2" s="13" t="s">
        <v>17</v>
      </c>
      <c r="O2" s="13" t="s">
        <v>22</v>
      </c>
      <c r="P2" s="4" t="s">
        <v>26</v>
      </c>
      <c r="R2" s="19" t="s">
        <v>31</v>
      </c>
      <c r="S2" s="19" t="s">
        <v>32</v>
      </c>
      <c r="T2" s="19" t="s">
        <v>33</v>
      </c>
      <c r="U2" t="s">
        <v>41</v>
      </c>
      <c r="V2" t="s">
        <v>27</v>
      </c>
      <c r="W2" t="s">
        <v>24</v>
      </c>
      <c r="X2" t="s">
        <v>35</v>
      </c>
      <c r="Y2" t="s">
        <v>36</v>
      </c>
      <c r="Z2" t="s">
        <v>37</v>
      </c>
    </row>
    <row r="3" spans="1:28" x14ac:dyDescent="0.25">
      <c r="A3" s="18"/>
      <c r="B3" s="5"/>
      <c r="C3" s="5"/>
      <c r="D3" s="5"/>
      <c r="E3" s="5"/>
      <c r="F3" s="5"/>
      <c r="G3" s="5"/>
      <c r="H3" s="5"/>
      <c r="I3" s="5"/>
      <c r="J3" s="5"/>
      <c r="K3" s="10"/>
      <c r="L3" s="19"/>
      <c r="M3" s="19"/>
      <c r="N3" s="20"/>
      <c r="O3" s="20"/>
      <c r="P3" s="10"/>
    </row>
    <row r="4" spans="1:28" x14ac:dyDescent="0.25">
      <c r="A4" s="18"/>
      <c r="B4" s="5"/>
      <c r="C4" s="5"/>
      <c r="D4" s="5"/>
      <c r="E4" s="5"/>
      <c r="F4" s="5"/>
      <c r="G4" s="5"/>
      <c r="H4" s="5"/>
      <c r="I4" s="5"/>
      <c r="J4" s="5"/>
      <c r="K4" s="10"/>
      <c r="L4" s="19"/>
      <c r="M4" s="19"/>
      <c r="N4" s="20"/>
      <c r="O4" s="20"/>
      <c r="P4" s="10"/>
      <c r="Q4" t="s">
        <v>42</v>
      </c>
    </row>
    <row r="5" spans="1:28" x14ac:dyDescent="0.25">
      <c r="A5" s="18"/>
      <c r="B5" s="5"/>
      <c r="C5" s="5"/>
      <c r="D5" s="5"/>
      <c r="E5" s="5"/>
      <c r="F5" s="5"/>
      <c r="G5" s="5"/>
      <c r="H5" s="5"/>
      <c r="I5" s="5"/>
      <c r="J5" s="5"/>
      <c r="K5" s="10"/>
      <c r="L5" s="19"/>
      <c r="M5" s="19"/>
      <c r="N5" s="20">
        <v>1960</v>
      </c>
      <c r="O5" s="20"/>
      <c r="P5" s="10"/>
      <c r="U5" s="14"/>
      <c r="V5" s="15"/>
      <c r="W5" s="15"/>
      <c r="X5" s="15"/>
      <c r="Y5" s="15"/>
      <c r="Z5" s="15"/>
      <c r="AA5" s="15"/>
      <c r="AB5" s="15"/>
    </row>
    <row r="6" spans="1:28" x14ac:dyDescent="0.25">
      <c r="A6" s="18"/>
      <c r="B6" s="5"/>
      <c r="C6" s="5"/>
      <c r="D6" s="5"/>
      <c r="E6" s="5"/>
      <c r="F6" s="5"/>
      <c r="G6" s="5"/>
      <c r="H6" s="5"/>
      <c r="I6" s="5"/>
      <c r="J6" s="5"/>
      <c r="K6" s="10"/>
      <c r="L6" s="12">
        <f>'All data'!N16</f>
        <v>-3.9120000000000008</v>
      </c>
      <c r="M6" s="19"/>
      <c r="N6" s="20">
        <v>1961</v>
      </c>
      <c r="O6" s="20"/>
      <c r="P6" s="10"/>
      <c r="U6" s="14"/>
      <c r="V6" s="15"/>
      <c r="W6" s="15"/>
      <c r="X6" s="15"/>
      <c r="Y6" s="15"/>
      <c r="Z6" s="15"/>
      <c r="AA6" s="15"/>
      <c r="AB6" s="15"/>
    </row>
    <row r="7" spans="1:28" x14ac:dyDescent="0.25">
      <c r="A7" s="18"/>
      <c r="B7" s="5"/>
      <c r="C7" s="5"/>
      <c r="D7" s="5"/>
      <c r="E7" s="5"/>
      <c r="F7" s="5"/>
      <c r="G7" s="5"/>
      <c r="H7" s="5"/>
      <c r="I7" s="5"/>
      <c r="J7" s="5"/>
      <c r="K7" s="10"/>
      <c r="L7" s="12">
        <f>'All data'!N17</f>
        <v>-4.0680000000000005</v>
      </c>
      <c r="M7" s="19"/>
      <c r="N7" s="20">
        <v>1962</v>
      </c>
      <c r="O7" s="20"/>
      <c r="P7" s="10"/>
      <c r="U7" s="14">
        <f>(L7-AVERAGE($L$6:$L$63))/STDEV($L$6:$L$63)</f>
        <v>0.44909182994411007</v>
      </c>
      <c r="V7" s="15"/>
      <c r="W7" s="15"/>
      <c r="X7" s="15"/>
      <c r="Y7" s="15"/>
      <c r="Z7" s="15"/>
      <c r="AA7" s="15"/>
      <c r="AB7" s="15"/>
    </row>
    <row r="8" spans="1:28" x14ac:dyDescent="0.25">
      <c r="A8" s="18"/>
      <c r="B8" s="5"/>
      <c r="C8" s="5"/>
      <c r="D8" s="5"/>
      <c r="E8" s="5"/>
      <c r="F8" s="5"/>
      <c r="G8" s="5"/>
      <c r="H8" s="5"/>
      <c r="I8" s="5"/>
      <c r="J8" s="5"/>
      <c r="K8" s="10"/>
      <c r="L8" s="12">
        <f>'All data'!N18</f>
        <v>-4.3649999999999993</v>
      </c>
      <c r="M8" s="19"/>
      <c r="N8" s="20">
        <v>1963</v>
      </c>
      <c r="O8" s="20"/>
      <c r="P8" s="10"/>
      <c r="U8" s="14">
        <f t="shared" ref="U8:U63" si="0">(L8-AVERAGE($L$6:$L$63))/STDEV($L$6:$L$63)</f>
        <v>0.18829366851009488</v>
      </c>
      <c r="V8" s="15">
        <v>0.44909182994411007</v>
      </c>
      <c r="W8" s="15"/>
      <c r="X8" s="15"/>
      <c r="Y8" s="15"/>
      <c r="Z8" s="15"/>
      <c r="AA8" s="15"/>
      <c r="AB8" s="15"/>
    </row>
    <row r="9" spans="1:28" x14ac:dyDescent="0.25">
      <c r="A9">
        <v>1964</v>
      </c>
      <c r="B9" s="22">
        <f>'pollock Model 2017 data'!P3</f>
        <v>6.43</v>
      </c>
      <c r="C9" s="22">
        <f>'pollock Model 2017 data'!Q3</f>
        <v>3.46</v>
      </c>
      <c r="D9" s="22">
        <f>'pollock Model 2017 data'!R3</f>
        <v>2.19</v>
      </c>
      <c r="E9" s="22">
        <f>'pollock Model 2017 data'!S3</f>
        <v>0.47</v>
      </c>
      <c r="F9" s="22">
        <f>'pollock Model 2017 data'!T3</f>
        <v>0.2</v>
      </c>
      <c r="G9" s="22">
        <f>'pollock Model 2017 data'!U3</f>
        <v>0.39</v>
      </c>
      <c r="H9" s="22">
        <f>'pollock Model 2017 data'!V3</f>
        <v>0.18</v>
      </c>
      <c r="I9" s="22">
        <f>'pollock Model 2017 data'!W3</f>
        <v>0.06</v>
      </c>
      <c r="J9" s="22">
        <f>'pollock Model 2017 data'!X3</f>
        <v>0.04</v>
      </c>
      <c r="K9" s="22">
        <f>'pollock Model 2017 data'!Y3</f>
        <v>0.22</v>
      </c>
      <c r="L9" s="12">
        <f>'All data'!N19</f>
        <v>-4.3089999999999993</v>
      </c>
      <c r="M9" s="12"/>
      <c r="N9" s="5">
        <f>A9</f>
        <v>1964</v>
      </c>
      <c r="O9" s="14">
        <f>(B9-AVERAGE($B$9:$B$62))/STDEV($B$9:$B$62)</f>
        <v>-1.206157324625234</v>
      </c>
      <c r="P9" s="14">
        <f>(C9-AVERAGE($C$9:$C$62))/STDEV($C$9:$C$62)</f>
        <v>-1.0252998716550275</v>
      </c>
      <c r="Q9" s="14">
        <f>(D9-AVERAGE($D$9:$D$62))/STDEV($D$9:$D$62)</f>
        <v>-0.97632214694304642</v>
      </c>
      <c r="R9" s="14">
        <f>(E9-AVERAGE($E$9:$E$62))/STDEV($E$9:$E$62)</f>
        <v>-1.2748256649943452</v>
      </c>
      <c r="S9" s="14">
        <f>(F9-AVERAGE($F$9:$F$62))/STDEV($F$9:$F$62)</f>
        <v>-1.2159536384190879</v>
      </c>
      <c r="T9" s="14">
        <f>(G9-AVERAGE($G$9:$G$62))/STDEV($G$9:$G$62)</f>
        <v>-0.88326785319401691</v>
      </c>
      <c r="U9" s="14">
        <f t="shared" si="0"/>
        <v>0.23746773261886567</v>
      </c>
      <c r="V9" s="15">
        <v>0.18829366851009488</v>
      </c>
      <c r="W9" s="15">
        <v>0.44909182994411007</v>
      </c>
      <c r="X9" s="15"/>
      <c r="Y9" s="15"/>
      <c r="Z9" s="15"/>
      <c r="AA9" s="15"/>
      <c r="AB9" s="15"/>
    </row>
    <row r="10" spans="1:28" x14ac:dyDescent="0.25">
      <c r="A10">
        <v>1965</v>
      </c>
      <c r="B10" s="22">
        <f>'pollock Model 2017 data'!P4</f>
        <v>21.16</v>
      </c>
      <c r="C10" s="22">
        <f>'pollock Model 2017 data'!Q4</f>
        <v>2.61</v>
      </c>
      <c r="D10" s="22">
        <f>'pollock Model 2017 data'!R4</f>
        <v>2.1800000000000002</v>
      </c>
      <c r="E10" s="22">
        <f>'pollock Model 2017 data'!S4</f>
        <v>1.55</v>
      </c>
      <c r="F10" s="22">
        <f>'pollock Model 2017 data'!T4</f>
        <v>0.28999999999999998</v>
      </c>
      <c r="G10" s="22">
        <f>'pollock Model 2017 data'!U4</f>
        <v>0.13</v>
      </c>
      <c r="H10" s="22">
        <f>'pollock Model 2017 data'!V4</f>
        <v>0.25</v>
      </c>
      <c r="I10" s="22">
        <f>'pollock Model 2017 data'!W4</f>
        <v>0.11</v>
      </c>
      <c r="J10" s="22">
        <f>'pollock Model 2017 data'!X4</f>
        <v>0.04</v>
      </c>
      <c r="K10" s="22">
        <f>'pollock Model 2017 data'!Y4</f>
        <v>0.16</v>
      </c>
      <c r="L10" s="12">
        <f>'All data'!N20</f>
        <v>-3.9940000000000007</v>
      </c>
      <c r="M10" s="12"/>
      <c r="N10" s="5">
        <f t="shared" ref="N10:N58" si="1">A10</f>
        <v>1965</v>
      </c>
      <c r="O10" s="14">
        <f t="shared" ref="O10:O61" si="2">(B10-AVERAGE($B$9:$B$62))/STDEV($B$9:$B$62)</f>
        <v>-0.10743806311194538</v>
      </c>
      <c r="P10" s="14">
        <f t="shared" ref="P10:P61" si="3">(C10-AVERAGE($C$9:$C$62))/STDEV($C$9:$C$62)</f>
        <v>-1.1798524631458838</v>
      </c>
      <c r="Q10" s="14">
        <f t="shared" ref="Q10:Q61" si="4">(D10-AVERAGE($D$9:$D$62))/STDEV($D$9:$D$62)</f>
        <v>-0.97915968170811218</v>
      </c>
      <c r="R10" s="14">
        <f t="shared" ref="R10:R61" si="5">(E10-AVERAGE($E$9:$E$62))/STDEV($E$9:$E$62)</f>
        <v>-0.86042383241828935</v>
      </c>
      <c r="S10" s="14">
        <f t="shared" ref="S10:S61" si="6">(F10-AVERAGE($F$9:$F$62))/STDEV($F$9:$F$62)</f>
        <v>-1.1649874057091547</v>
      </c>
      <c r="T10" s="14">
        <f t="shared" ref="T10:T61" si="7">(G10-AVERAGE($G$9:$G$62))/STDEV($G$9:$G$62)</f>
        <v>-1.1229485771763132</v>
      </c>
      <c r="U10" s="14">
        <f t="shared" si="0"/>
        <v>0.51407184323069988</v>
      </c>
      <c r="V10" s="15">
        <v>0.23746773261886567</v>
      </c>
      <c r="W10" s="15">
        <v>0.18829366851009488</v>
      </c>
      <c r="X10" s="15">
        <v>0.44909182994411007</v>
      </c>
      <c r="Y10" s="15"/>
      <c r="Z10" s="15"/>
      <c r="AA10" s="15"/>
      <c r="AB10" s="15"/>
    </row>
    <row r="11" spans="1:28" x14ac:dyDescent="0.25">
      <c r="A11">
        <v>1966</v>
      </c>
      <c r="B11" s="22">
        <f>'pollock Model 2017 data'!P5</f>
        <v>15.16</v>
      </c>
      <c r="C11" s="22">
        <f>'pollock Model 2017 data'!Q5</f>
        <v>8.59</v>
      </c>
      <c r="D11" s="22">
        <f>'pollock Model 2017 data'!R5</f>
        <v>1.64</v>
      </c>
      <c r="E11" s="22">
        <f>'pollock Model 2017 data'!S5</f>
        <v>1.53</v>
      </c>
      <c r="F11" s="22">
        <f>'pollock Model 2017 data'!T5</f>
        <v>0.96</v>
      </c>
      <c r="G11" s="22">
        <f>'pollock Model 2017 data'!U5</f>
        <v>0.18</v>
      </c>
      <c r="H11" s="22">
        <f>'pollock Model 2017 data'!V5</f>
        <v>0.08</v>
      </c>
      <c r="I11" s="22">
        <f>'pollock Model 2017 data'!W5</f>
        <v>0.16</v>
      </c>
      <c r="J11" s="22">
        <f>'pollock Model 2017 data'!X5</f>
        <v>7.0000000000000007E-2</v>
      </c>
      <c r="K11" s="22">
        <f>'pollock Model 2017 data'!Y5</f>
        <v>0.13</v>
      </c>
      <c r="L11" s="12">
        <f>'All data'!N21</f>
        <v>-3.8880000000000008</v>
      </c>
      <c r="M11" s="12"/>
      <c r="N11" s="5">
        <f t="shared" si="1"/>
        <v>1966</v>
      </c>
      <c r="O11" s="14">
        <f t="shared" si="2"/>
        <v>-0.55498155049006703</v>
      </c>
      <c r="P11" s="14">
        <f t="shared" si="3"/>
        <v>-9.2529525363153439E-2</v>
      </c>
      <c r="Q11" s="14">
        <f t="shared" si="4"/>
        <v>-1.1323865590216713</v>
      </c>
      <c r="R11" s="14">
        <f t="shared" si="5"/>
        <v>-0.86809794042895694</v>
      </c>
      <c r="S11" s="14">
        <f t="shared" si="6"/>
        <v>-0.78557211775742886</v>
      </c>
      <c r="T11" s="14">
        <f t="shared" si="7"/>
        <v>-1.0768561302566408</v>
      </c>
      <c r="U11" s="14">
        <f t="shared" si="0"/>
        <v>0.60715132172230146</v>
      </c>
      <c r="V11" s="15">
        <v>0.51407184323069988</v>
      </c>
      <c r="W11" s="15">
        <v>0.23746773261886567</v>
      </c>
      <c r="X11" s="15">
        <v>0.18829366851009488</v>
      </c>
      <c r="Y11" s="15">
        <v>0.44909182994411007</v>
      </c>
      <c r="Z11" s="15"/>
      <c r="AA11" s="15"/>
      <c r="AB11" s="15"/>
    </row>
    <row r="12" spans="1:28" x14ac:dyDescent="0.25">
      <c r="A12">
        <v>1967</v>
      </c>
      <c r="B12" s="22">
        <f>'pollock Model 2017 data'!P6</f>
        <v>25.65</v>
      </c>
      <c r="C12" s="22">
        <f>'pollock Model 2017 data'!Q6</f>
        <v>6.15</v>
      </c>
      <c r="D12" s="22">
        <f>'pollock Model 2017 data'!R6</f>
        <v>5.4</v>
      </c>
      <c r="E12" s="22">
        <f>'pollock Model 2017 data'!S6</f>
        <v>1.1499999999999999</v>
      </c>
      <c r="F12" s="22">
        <f>'pollock Model 2017 data'!T6</f>
        <v>0.97</v>
      </c>
      <c r="G12" s="22">
        <f>'pollock Model 2017 data'!U6</f>
        <v>0.61</v>
      </c>
      <c r="H12" s="22">
        <f>'pollock Model 2017 data'!V6</f>
        <v>0.12</v>
      </c>
      <c r="I12" s="22">
        <f>'pollock Model 2017 data'!W6</f>
        <v>0.05</v>
      </c>
      <c r="J12" s="22">
        <f>'pollock Model 2017 data'!X6</f>
        <v>0.1</v>
      </c>
      <c r="K12" s="22">
        <f>'pollock Model 2017 data'!Y6</f>
        <v>0.13</v>
      </c>
      <c r="L12" s="12">
        <f>'All data'!N22</f>
        <v>-3.4719999999999995</v>
      </c>
      <c r="M12" s="12"/>
      <c r="N12" s="5">
        <f t="shared" si="1"/>
        <v>1967</v>
      </c>
      <c r="O12" s="14">
        <f t="shared" si="2"/>
        <v>0.22747364660934885</v>
      </c>
      <c r="P12" s="14">
        <f t="shared" si="3"/>
        <v>-0.53618637623102328</v>
      </c>
      <c r="Q12" s="14">
        <f t="shared" si="4"/>
        <v>-6.5473487356890805E-2</v>
      </c>
      <c r="R12" s="14">
        <f t="shared" si="5"/>
        <v>-1.0139059926316434</v>
      </c>
      <c r="S12" s="14">
        <f t="shared" si="6"/>
        <v>-0.77990920301188071</v>
      </c>
      <c r="T12" s="14">
        <f t="shared" si="7"/>
        <v>-0.68046108674745875</v>
      </c>
      <c r="U12" s="14">
        <f t="shared" si="0"/>
        <v>0.9724443693874566</v>
      </c>
      <c r="V12" s="15">
        <v>0.60715132172230146</v>
      </c>
      <c r="W12" s="15">
        <v>0.51407184323069988</v>
      </c>
      <c r="X12" s="15">
        <v>0.23746773261886567</v>
      </c>
      <c r="Y12" s="15">
        <v>0.18829366851009488</v>
      </c>
      <c r="Z12" s="15">
        <v>0.44909182994411007</v>
      </c>
      <c r="AA12" s="15"/>
      <c r="AB12" s="15"/>
    </row>
    <row r="13" spans="1:28" x14ac:dyDescent="0.25">
      <c r="A13">
        <v>1968</v>
      </c>
      <c r="B13" s="22">
        <f>'pollock Model 2017 data'!P7</f>
        <v>22.19</v>
      </c>
      <c r="C13" s="22">
        <f>'pollock Model 2017 data'!Q7</f>
        <v>10.39</v>
      </c>
      <c r="D13" s="22">
        <f>'pollock Model 2017 data'!R7</f>
        <v>3.81</v>
      </c>
      <c r="E13" s="22">
        <f>'pollock Model 2017 data'!S7</f>
        <v>3.52</v>
      </c>
      <c r="F13" s="22">
        <f>'pollock Model 2017 data'!T7</f>
        <v>0.67</v>
      </c>
      <c r="G13" s="22">
        <f>'pollock Model 2017 data'!U7</f>
        <v>0.56000000000000005</v>
      </c>
      <c r="H13" s="22">
        <f>'pollock Model 2017 data'!V7</f>
        <v>0.36</v>
      </c>
      <c r="I13" s="22">
        <f>'pollock Model 2017 data'!W7</f>
        <v>7.0000000000000007E-2</v>
      </c>
      <c r="J13" s="22">
        <f>'pollock Model 2017 data'!X7</f>
        <v>0.03</v>
      </c>
      <c r="K13" s="22">
        <f>'pollock Model 2017 data'!Y7</f>
        <v>0.14000000000000001</v>
      </c>
      <c r="L13" s="12">
        <f>'All data'!N23</f>
        <v>-4.1960000000000006</v>
      </c>
      <c r="M13" s="12"/>
      <c r="N13" s="5">
        <f t="shared" si="1"/>
        <v>1968</v>
      </c>
      <c r="O13" s="14">
        <f t="shared" si="2"/>
        <v>-3.0609764445367751E-2</v>
      </c>
      <c r="P13" s="14">
        <f t="shared" si="3"/>
        <v>0.234758315441013</v>
      </c>
      <c r="Q13" s="14">
        <f t="shared" si="4"/>
        <v>-0.51664151500236977</v>
      </c>
      <c r="R13" s="14">
        <f t="shared" si="5"/>
        <v>-0.10452419336752085</v>
      </c>
      <c r="S13" s="14">
        <f t="shared" si="6"/>
        <v>-0.94979664537832509</v>
      </c>
      <c r="T13" s="14">
        <f t="shared" si="7"/>
        <v>-0.72655353366713105</v>
      </c>
      <c r="U13" s="14">
        <f t="shared" si="0"/>
        <v>0.33669396912406258</v>
      </c>
      <c r="V13" s="15">
        <v>0.9724443693874566</v>
      </c>
      <c r="W13" s="15">
        <v>0.60715132172230146</v>
      </c>
      <c r="X13" s="15">
        <v>0.51407184323069988</v>
      </c>
      <c r="Y13" s="15">
        <v>0.23746773261886567</v>
      </c>
      <c r="Z13" s="15">
        <v>0.18829366851009488</v>
      </c>
      <c r="AA13" s="15"/>
      <c r="AB13" s="15"/>
    </row>
    <row r="14" spans="1:28" x14ac:dyDescent="0.25">
      <c r="A14">
        <v>1969</v>
      </c>
      <c r="B14" s="22">
        <f>'pollock Model 2017 data'!P8</f>
        <v>26.18</v>
      </c>
      <c r="C14" s="22">
        <f>'pollock Model 2017 data'!Q8</f>
        <v>8.98</v>
      </c>
      <c r="D14" s="22">
        <f>'pollock Model 2017 data'!R8</f>
        <v>6.42</v>
      </c>
      <c r="E14" s="22">
        <f>'pollock Model 2017 data'!S8</f>
        <v>2.4900000000000002</v>
      </c>
      <c r="F14" s="22">
        <f>'pollock Model 2017 data'!T8</f>
        <v>2.04</v>
      </c>
      <c r="G14" s="22">
        <f>'pollock Model 2017 data'!U8</f>
        <v>0.39</v>
      </c>
      <c r="H14" s="22">
        <f>'pollock Model 2017 data'!V8</f>
        <v>0.33</v>
      </c>
      <c r="I14" s="22">
        <f>'pollock Model 2017 data'!W8</f>
        <v>0.21</v>
      </c>
      <c r="J14" s="22">
        <f>'pollock Model 2017 data'!X8</f>
        <v>0.04</v>
      </c>
      <c r="K14" s="22">
        <f>'pollock Model 2017 data'!Y8</f>
        <v>0.1</v>
      </c>
      <c r="L14" s="12">
        <f>'All data'!N24</f>
        <v>-4.1840000000000002</v>
      </c>
      <c r="M14" s="12"/>
      <c r="N14" s="5">
        <f t="shared" si="1"/>
        <v>1969</v>
      </c>
      <c r="O14" s="14">
        <f t="shared" si="2"/>
        <v>0.26700665466108303</v>
      </c>
      <c r="P14" s="14">
        <f t="shared" si="3"/>
        <v>-2.1617159855583976E-2</v>
      </c>
      <c r="Q14" s="14">
        <f t="shared" si="4"/>
        <v>0.22395505867983137</v>
      </c>
      <c r="R14" s="14">
        <f t="shared" si="5"/>
        <v>-0.49974075591690731</v>
      </c>
      <c r="S14" s="14">
        <f t="shared" si="6"/>
        <v>-0.17397732523822917</v>
      </c>
      <c r="T14" s="14">
        <f t="shared" si="7"/>
        <v>-0.88326785319401691</v>
      </c>
      <c r="U14" s="14">
        <f t="shared" si="0"/>
        <v>0.34723126857594244</v>
      </c>
      <c r="V14" s="15">
        <v>0.33669396912406258</v>
      </c>
      <c r="W14" s="15">
        <v>0.9724443693874566</v>
      </c>
      <c r="X14" s="15">
        <v>0.60715132172230146</v>
      </c>
      <c r="Y14" s="15">
        <v>0.51407184323069988</v>
      </c>
      <c r="Z14" s="15">
        <v>0.23746773261886567</v>
      </c>
      <c r="AA14" s="15"/>
      <c r="AB14" s="15"/>
    </row>
    <row r="15" spans="1:28" x14ac:dyDescent="0.25">
      <c r="A15">
        <v>1970</v>
      </c>
      <c r="B15" s="22">
        <f>'pollock Model 2017 data'!P9</f>
        <v>23.52</v>
      </c>
      <c r="C15" s="22">
        <f>'pollock Model 2017 data'!Q9</f>
        <v>10.59</v>
      </c>
      <c r="D15" s="22">
        <f>'pollock Model 2017 data'!R9</f>
        <v>5.52</v>
      </c>
      <c r="E15" s="22">
        <f>'pollock Model 2017 data'!S9</f>
        <v>4.0599999999999996</v>
      </c>
      <c r="F15" s="22">
        <f>'pollock Model 2017 data'!T9</f>
        <v>1.46</v>
      </c>
      <c r="G15" s="22">
        <f>'pollock Model 2017 data'!U9</f>
        <v>1.21</v>
      </c>
      <c r="H15" s="22">
        <f>'pollock Model 2017 data'!V9</f>
        <v>0.23</v>
      </c>
      <c r="I15" s="22">
        <f>'pollock Model 2017 data'!W9</f>
        <v>0.2</v>
      </c>
      <c r="J15" s="22">
        <f>'pollock Model 2017 data'!X9</f>
        <v>0.12</v>
      </c>
      <c r="K15" s="22">
        <f>'pollock Model 2017 data'!Y9</f>
        <v>0.08</v>
      </c>
      <c r="L15" s="12">
        <f>'All data'!N25</f>
        <v>-4.53</v>
      </c>
      <c r="M15" s="12"/>
      <c r="N15" s="5">
        <f t="shared" si="1"/>
        <v>1970</v>
      </c>
      <c r="O15" s="14">
        <f t="shared" si="2"/>
        <v>6.8595708590115753E-2</v>
      </c>
      <c r="P15" s="14">
        <f t="shared" si="3"/>
        <v>0.27112363108592025</v>
      </c>
      <c r="Q15" s="14">
        <f t="shared" si="4"/>
        <v>-3.142307017610016E-2</v>
      </c>
      <c r="R15" s="14">
        <f t="shared" si="5"/>
        <v>0.10267672292050689</v>
      </c>
      <c r="S15" s="14">
        <f t="shared" si="6"/>
        <v>-0.50242638048002164</v>
      </c>
      <c r="T15" s="14">
        <f t="shared" si="7"/>
        <v>-0.12735172371139092</v>
      </c>
      <c r="U15" s="14">
        <f t="shared" si="0"/>
        <v>4.3405801046751721E-2</v>
      </c>
      <c r="V15" s="15">
        <v>0.34723126857594244</v>
      </c>
      <c r="W15" s="15">
        <v>0.33669396912406258</v>
      </c>
      <c r="X15" s="15">
        <v>0.9724443693874566</v>
      </c>
      <c r="Y15" s="15">
        <v>0.60715132172230146</v>
      </c>
      <c r="Z15" s="15">
        <v>0.51407184323069988</v>
      </c>
      <c r="AA15" s="15"/>
      <c r="AB15" s="15"/>
    </row>
    <row r="16" spans="1:28" x14ac:dyDescent="0.25">
      <c r="A16">
        <v>1971</v>
      </c>
      <c r="B16" s="22">
        <f>'pollock Model 2017 data'!P10</f>
        <v>14.46</v>
      </c>
      <c r="C16" s="22">
        <f>'pollock Model 2017 data'!Q10</f>
        <v>9.4700000000000006</v>
      </c>
      <c r="D16" s="22">
        <f>'pollock Model 2017 data'!R10</f>
        <v>6.36</v>
      </c>
      <c r="E16" s="22">
        <f>'pollock Model 2017 data'!S10</f>
        <v>3.29</v>
      </c>
      <c r="F16" s="22">
        <f>'pollock Model 2017 data'!T10</f>
        <v>2.3199999999999998</v>
      </c>
      <c r="G16" s="22">
        <f>'pollock Model 2017 data'!U10</f>
        <v>0.81</v>
      </c>
      <c r="H16" s="22">
        <f>'pollock Model 2017 data'!V10</f>
        <v>0.67</v>
      </c>
      <c r="I16" s="22">
        <f>'pollock Model 2017 data'!W10</f>
        <v>0.13</v>
      </c>
      <c r="J16" s="22">
        <f>'pollock Model 2017 data'!X10</f>
        <v>0.1</v>
      </c>
      <c r="K16" s="22">
        <f>'pollock Model 2017 data'!Y10</f>
        <v>0.1</v>
      </c>
      <c r="L16" s="12">
        <f>'All data'!N26</f>
        <v>-4.5880000000000001</v>
      </c>
      <c r="M16" s="12"/>
      <c r="N16" s="5">
        <f t="shared" si="1"/>
        <v>1971</v>
      </c>
      <c r="O16" s="14">
        <f t="shared" si="2"/>
        <v>-0.60719495735084783</v>
      </c>
      <c r="P16" s="14">
        <f t="shared" si="3"/>
        <v>6.7477863474439112E-2</v>
      </c>
      <c r="Q16" s="14">
        <f t="shared" si="4"/>
        <v>0.20692985008943607</v>
      </c>
      <c r="R16" s="14">
        <f t="shared" si="5"/>
        <v>-0.19277643549019938</v>
      </c>
      <c r="S16" s="14">
        <f t="shared" si="6"/>
        <v>-1.5415712362881209E-2</v>
      </c>
      <c r="T16" s="14">
        <f t="shared" si="7"/>
        <v>-0.49609129906876942</v>
      </c>
      <c r="U16" s="14">
        <f t="shared" si="0"/>
        <v>-7.5244796373321069E-3</v>
      </c>
      <c r="V16" s="15">
        <v>4.3405801046751721E-2</v>
      </c>
      <c r="W16" s="15">
        <v>0.34723126857594244</v>
      </c>
      <c r="X16" s="15">
        <v>0.33669396912406258</v>
      </c>
      <c r="Y16" s="15">
        <v>0.9724443693874566</v>
      </c>
      <c r="Z16" s="15">
        <v>0.60715132172230146</v>
      </c>
      <c r="AA16" s="15"/>
      <c r="AB16" s="15"/>
    </row>
    <row r="17" spans="1:28" x14ac:dyDescent="0.25">
      <c r="A17">
        <v>1972</v>
      </c>
      <c r="B17" s="22">
        <f>'pollock Model 2017 data'!P11</f>
        <v>11.83</v>
      </c>
      <c r="C17" s="22">
        <f>'pollock Model 2017 data'!Q11</f>
        <v>5.8</v>
      </c>
      <c r="D17" s="22">
        <f>'pollock Model 2017 data'!R11</f>
        <v>5.55</v>
      </c>
      <c r="E17" s="22">
        <f>'pollock Model 2017 data'!S11</f>
        <v>3.57</v>
      </c>
      <c r="F17" s="22">
        <f>'pollock Model 2017 data'!T11</f>
        <v>1.73</v>
      </c>
      <c r="G17" s="22">
        <f>'pollock Model 2017 data'!U11</f>
        <v>1.1499999999999999</v>
      </c>
      <c r="H17" s="22">
        <f>'pollock Model 2017 data'!V11</f>
        <v>0.4</v>
      </c>
      <c r="I17" s="22">
        <f>'pollock Model 2017 data'!W11</f>
        <v>0.33</v>
      </c>
      <c r="J17" s="22">
        <f>'pollock Model 2017 data'!X11</f>
        <v>0.06</v>
      </c>
      <c r="K17" s="22">
        <f>'pollock Model 2017 data'!Y11</f>
        <v>0.09</v>
      </c>
      <c r="L17" s="12">
        <f>'All data'!N27</f>
        <v>-3.9180000000000001</v>
      </c>
      <c r="M17" s="12"/>
      <c r="N17" s="5">
        <f t="shared" si="1"/>
        <v>1972</v>
      </c>
      <c r="O17" s="14">
        <f t="shared" si="2"/>
        <v>-0.80336818598492454</v>
      </c>
      <c r="P17" s="14">
        <f t="shared" si="3"/>
        <v>-0.59982567860961122</v>
      </c>
      <c r="Q17" s="14">
        <f t="shared" si="4"/>
        <v>-2.2910465880902377E-2</v>
      </c>
      <c r="R17" s="14">
        <f t="shared" si="5"/>
        <v>-8.5338923340851663E-2</v>
      </c>
      <c r="S17" s="14">
        <f t="shared" si="6"/>
        <v>-0.34952768235022169</v>
      </c>
      <c r="T17" s="14">
        <f t="shared" si="7"/>
        <v>-0.18266266001499776</v>
      </c>
      <c r="U17" s="14">
        <f t="shared" si="0"/>
        <v>0.58080807309260341</v>
      </c>
      <c r="V17" s="15">
        <v>-7.5244796373321069E-3</v>
      </c>
      <c r="W17" s="15">
        <v>4.3405801046751721E-2</v>
      </c>
      <c r="X17" s="15">
        <v>0.34723126857594244</v>
      </c>
      <c r="Y17" s="15">
        <v>0.33669396912406258</v>
      </c>
      <c r="Z17" s="15">
        <v>0.9724443693874566</v>
      </c>
      <c r="AA17" s="15"/>
      <c r="AB17" s="15"/>
    </row>
    <row r="18" spans="1:28" x14ac:dyDescent="0.25">
      <c r="A18">
        <v>1973</v>
      </c>
      <c r="B18" s="22">
        <f>'pollock Model 2017 data'!P12</f>
        <v>26.95</v>
      </c>
      <c r="C18" s="22">
        <f>'pollock Model 2017 data'!Q12</f>
        <v>4.75</v>
      </c>
      <c r="D18" s="22">
        <f>'pollock Model 2017 data'!R12</f>
        <v>3.3</v>
      </c>
      <c r="E18" s="22">
        <f>'pollock Model 2017 data'!S12</f>
        <v>2.89</v>
      </c>
      <c r="F18" s="22">
        <f>'pollock Model 2017 data'!T12</f>
        <v>1.73</v>
      </c>
      <c r="G18" s="22">
        <f>'pollock Model 2017 data'!U12</f>
        <v>0.82</v>
      </c>
      <c r="H18" s="22">
        <f>'pollock Model 2017 data'!V12</f>
        <v>0.55000000000000004</v>
      </c>
      <c r="I18" s="22">
        <f>'pollock Model 2017 data'!W12</f>
        <v>0.19</v>
      </c>
      <c r="J18" s="22">
        <f>'pollock Model 2017 data'!X12</f>
        <v>0.15</v>
      </c>
      <c r="K18" s="22">
        <f>'pollock Model 2017 data'!Y12</f>
        <v>0.06</v>
      </c>
      <c r="L18" s="12">
        <f>'All data'!N28</f>
        <v>-3.8280000000000003</v>
      </c>
      <c r="M18" s="12"/>
      <c r="N18" s="5">
        <f t="shared" si="1"/>
        <v>1973</v>
      </c>
      <c r="O18" s="14">
        <f t="shared" si="2"/>
        <v>0.32444140220794193</v>
      </c>
      <c r="P18" s="14">
        <f t="shared" si="3"/>
        <v>-0.79074358574537484</v>
      </c>
      <c r="Q18" s="14">
        <f t="shared" si="4"/>
        <v>-0.66135578802073103</v>
      </c>
      <c r="R18" s="14">
        <f t="shared" si="5"/>
        <v>-0.34625859570355333</v>
      </c>
      <c r="S18" s="14">
        <f t="shared" si="6"/>
        <v>-0.34952768235022169</v>
      </c>
      <c r="T18" s="14">
        <f t="shared" si="7"/>
        <v>-0.48687280968483504</v>
      </c>
      <c r="U18" s="14">
        <f t="shared" si="0"/>
        <v>0.65983781898169913</v>
      </c>
      <c r="V18" s="15">
        <v>0.58080807309260341</v>
      </c>
      <c r="W18" s="15">
        <v>-7.5244796373321069E-3</v>
      </c>
      <c r="X18" s="15">
        <v>4.3405801046751721E-2</v>
      </c>
      <c r="Y18" s="15">
        <v>0.34723126857594244</v>
      </c>
      <c r="Z18" s="15">
        <v>0.33669396912406258</v>
      </c>
      <c r="AA18" s="15"/>
      <c r="AB18" s="15"/>
    </row>
    <row r="19" spans="1:28" x14ac:dyDescent="0.25">
      <c r="A19">
        <v>1974</v>
      </c>
      <c r="B19" s="22">
        <f>'pollock Model 2017 data'!P13</f>
        <v>19.77</v>
      </c>
      <c r="C19" s="22">
        <f>'pollock Model 2017 data'!Q13</f>
        <v>10.85</v>
      </c>
      <c r="D19" s="22">
        <f>'pollock Model 2017 data'!R13</f>
        <v>2.62</v>
      </c>
      <c r="E19" s="22">
        <f>'pollock Model 2017 data'!S13</f>
        <v>1.59</v>
      </c>
      <c r="F19" s="22">
        <f>'pollock Model 2017 data'!T13</f>
        <v>1.29</v>
      </c>
      <c r="G19" s="22">
        <f>'pollock Model 2017 data'!U13</f>
        <v>0.76</v>
      </c>
      <c r="H19" s="22">
        <f>'pollock Model 2017 data'!V13</f>
        <v>0.36</v>
      </c>
      <c r="I19" s="22">
        <f>'pollock Model 2017 data'!W13</f>
        <v>0.24</v>
      </c>
      <c r="J19" s="22">
        <f>'pollock Model 2017 data'!X13</f>
        <v>0.08</v>
      </c>
      <c r="K19" s="22">
        <f>'pollock Model 2017 data'!Y13</f>
        <v>0.08</v>
      </c>
      <c r="L19" s="12">
        <f>'All data'!N29</f>
        <v>-3.6980000000000004</v>
      </c>
      <c r="M19" s="12"/>
      <c r="N19" s="5">
        <f t="shared" si="1"/>
        <v>1974</v>
      </c>
      <c r="O19" s="14">
        <f t="shared" si="2"/>
        <v>-0.21111897102121027</v>
      </c>
      <c r="P19" s="14">
        <f t="shared" si="3"/>
        <v>0.3183985414242998</v>
      </c>
      <c r="Q19" s="14">
        <f t="shared" si="4"/>
        <v>-0.85430815204521249</v>
      </c>
      <c r="R19" s="14">
        <f t="shared" si="5"/>
        <v>-0.84507561639695394</v>
      </c>
      <c r="S19" s="14">
        <f t="shared" si="6"/>
        <v>-0.59869593115434006</v>
      </c>
      <c r="T19" s="14">
        <f t="shared" si="7"/>
        <v>-0.54218374598844177</v>
      </c>
      <c r="U19" s="14">
        <f t="shared" si="0"/>
        <v>0.77399189637705967</v>
      </c>
      <c r="V19" s="15">
        <v>0.65983781898169913</v>
      </c>
      <c r="W19" s="15">
        <v>0.58080807309260341</v>
      </c>
      <c r="X19" s="15">
        <v>-7.5244796373321069E-3</v>
      </c>
      <c r="Y19" s="15">
        <v>4.3405801046751721E-2</v>
      </c>
      <c r="Z19" s="15">
        <v>0.34723126857594244</v>
      </c>
      <c r="AA19" s="15"/>
      <c r="AB19" s="15"/>
    </row>
    <row r="20" spans="1:28" x14ac:dyDescent="0.25">
      <c r="A20">
        <v>1975</v>
      </c>
      <c r="B20" s="22">
        <f>'pollock Model 2017 data'!P14</f>
        <v>16.77</v>
      </c>
      <c r="C20" s="22">
        <f>'pollock Model 2017 data'!Q14</f>
        <v>7.97</v>
      </c>
      <c r="D20" s="22">
        <f>'pollock Model 2017 data'!R14</f>
        <v>5.76</v>
      </c>
      <c r="E20" s="22">
        <f>'pollock Model 2017 data'!S14</f>
        <v>1.1200000000000001</v>
      </c>
      <c r="F20" s="22">
        <f>'pollock Model 2017 data'!T14</f>
        <v>0.67</v>
      </c>
      <c r="G20" s="22">
        <f>'pollock Model 2017 data'!U14</f>
        <v>0.54</v>
      </c>
      <c r="H20" s="22">
        <f>'pollock Model 2017 data'!V14</f>
        <v>0.32</v>
      </c>
      <c r="I20" s="22">
        <f>'pollock Model 2017 data'!W14</f>
        <v>0.15</v>
      </c>
      <c r="J20" s="22">
        <f>'pollock Model 2017 data'!X14</f>
        <v>0.1</v>
      </c>
      <c r="K20" s="22">
        <f>'pollock Model 2017 data'!Y14</f>
        <v>0.06</v>
      </c>
      <c r="L20" s="12">
        <f>'All data'!N30</f>
        <v>-5.254999999999999</v>
      </c>
      <c r="M20" s="12"/>
      <c r="N20" s="5">
        <f t="shared" si="1"/>
        <v>1975</v>
      </c>
      <c r="O20" s="14">
        <f t="shared" si="2"/>
        <v>-0.43489071471027108</v>
      </c>
      <c r="P20" s="14">
        <f t="shared" si="3"/>
        <v>-0.20526200386236632</v>
      </c>
      <c r="Q20" s="14">
        <f t="shared" si="4"/>
        <v>3.6677764185481618E-2</v>
      </c>
      <c r="R20" s="14">
        <f t="shared" si="5"/>
        <v>-1.0254171546476447</v>
      </c>
      <c r="S20" s="14">
        <f t="shared" si="6"/>
        <v>-0.94979664537832509</v>
      </c>
      <c r="T20" s="14">
        <f t="shared" si="7"/>
        <v>-0.74499051243499992</v>
      </c>
      <c r="U20" s="14">
        <f t="shared" si="0"/>
        <v>-0.59322270750429695</v>
      </c>
      <c r="V20" s="15">
        <v>0.77399189637705967</v>
      </c>
      <c r="W20" s="15">
        <v>0.65983781898169913</v>
      </c>
      <c r="X20" s="15">
        <v>0.58080807309260341</v>
      </c>
      <c r="Y20" s="15">
        <v>-7.5244796373321069E-3</v>
      </c>
      <c r="Z20" s="15">
        <v>4.3405801046751721E-2</v>
      </c>
      <c r="AA20" s="15"/>
      <c r="AB20" s="15"/>
    </row>
    <row r="21" spans="1:28" x14ac:dyDescent="0.25">
      <c r="A21">
        <v>1976</v>
      </c>
      <c r="B21" s="22">
        <f>'pollock Model 2017 data'!P15</f>
        <v>12.9</v>
      </c>
      <c r="C21" s="22">
        <f>'pollock Model 2017 data'!Q15</f>
        <v>6.78</v>
      </c>
      <c r="D21" s="22">
        <f>'pollock Model 2017 data'!R15</f>
        <v>4.49</v>
      </c>
      <c r="E21" s="22">
        <f>'pollock Model 2017 data'!S15</f>
        <v>2.59</v>
      </c>
      <c r="F21" s="22">
        <f>'pollock Model 2017 data'!T15</f>
        <v>0.51</v>
      </c>
      <c r="G21" s="22">
        <f>'pollock Model 2017 data'!U15</f>
        <v>0.31</v>
      </c>
      <c r="H21" s="22">
        <f>'pollock Model 2017 data'!V15</f>
        <v>0.25</v>
      </c>
      <c r="I21" s="22">
        <f>'pollock Model 2017 data'!W15</f>
        <v>0.15</v>
      </c>
      <c r="J21" s="22">
        <f>'pollock Model 2017 data'!X15</f>
        <v>7.0000000000000007E-2</v>
      </c>
      <c r="K21" s="22">
        <f>'pollock Model 2017 data'!Y15</f>
        <v>7.0000000000000007E-2</v>
      </c>
      <c r="L21" s="12">
        <f>'All data'!N31</f>
        <v>-4.080000000000001</v>
      </c>
      <c r="M21" s="12"/>
      <c r="N21" s="5">
        <f t="shared" si="1"/>
        <v>1976</v>
      </c>
      <c r="O21" s="14">
        <f t="shared" si="2"/>
        <v>-0.72355626406915952</v>
      </c>
      <c r="P21" s="14">
        <f t="shared" si="3"/>
        <v>-0.42163563194956505</v>
      </c>
      <c r="Q21" s="14">
        <f t="shared" si="4"/>
        <v>-0.3236891509778882</v>
      </c>
      <c r="R21" s="14">
        <f t="shared" si="5"/>
        <v>-0.46137021586356897</v>
      </c>
      <c r="S21" s="14">
        <f t="shared" si="6"/>
        <v>-1.0404032813070954</v>
      </c>
      <c r="T21" s="14">
        <f t="shared" si="7"/>
        <v>-0.95701576826549262</v>
      </c>
      <c r="U21" s="14">
        <f t="shared" si="0"/>
        <v>0.43855453049223025</v>
      </c>
      <c r="V21" s="15">
        <v>-0.59322270750429695</v>
      </c>
      <c r="W21" s="15">
        <v>0.77399189637705967</v>
      </c>
      <c r="X21" s="15">
        <v>0.65983781898169913</v>
      </c>
      <c r="Y21" s="15">
        <v>0.58080807309260341</v>
      </c>
      <c r="Z21" s="15">
        <v>-7.5244796373321069E-3</v>
      </c>
      <c r="AA21" s="15"/>
      <c r="AB21" s="15"/>
    </row>
    <row r="22" spans="1:28" x14ac:dyDescent="0.25">
      <c r="A22">
        <v>1977</v>
      </c>
      <c r="B22" s="22">
        <f>'pollock Model 2017 data'!P16</f>
        <v>13.38</v>
      </c>
      <c r="C22" s="22">
        <f>'pollock Model 2017 data'!Q16</f>
        <v>5.22</v>
      </c>
      <c r="D22" s="22">
        <f>'pollock Model 2017 data'!R16</f>
        <v>3.91</v>
      </c>
      <c r="E22" s="22">
        <f>'pollock Model 2017 data'!S16</f>
        <v>2.2200000000000002</v>
      </c>
      <c r="F22" s="22">
        <f>'pollock Model 2017 data'!T16</f>
        <v>1.21</v>
      </c>
      <c r="G22" s="22">
        <f>'pollock Model 2017 data'!U16</f>
        <v>0.24</v>
      </c>
      <c r="H22" s="22">
        <f>'pollock Model 2017 data'!V16</f>
        <v>0.15</v>
      </c>
      <c r="I22" s="22">
        <f>'pollock Model 2017 data'!W16</f>
        <v>0.12</v>
      </c>
      <c r="J22" s="22">
        <f>'pollock Model 2017 data'!X16</f>
        <v>7.0000000000000007E-2</v>
      </c>
      <c r="K22" s="22">
        <f>'pollock Model 2017 data'!Y16</f>
        <v>0.06</v>
      </c>
      <c r="L22" s="12">
        <f>'All data'!N32</f>
        <v>-2.7060000000000004</v>
      </c>
      <c r="M22" s="12"/>
      <c r="N22" s="5">
        <f t="shared" si="1"/>
        <v>1977</v>
      </c>
      <c r="O22" s="14">
        <f t="shared" si="2"/>
        <v>-0.68775278507890969</v>
      </c>
      <c r="P22" s="14">
        <f t="shared" si="3"/>
        <v>-0.70528509397984263</v>
      </c>
      <c r="Q22" s="14">
        <f t="shared" si="4"/>
        <v>-0.48826616735171069</v>
      </c>
      <c r="R22" s="14">
        <f t="shared" si="5"/>
        <v>-0.60334121406092123</v>
      </c>
      <c r="S22" s="14">
        <f t="shared" si="6"/>
        <v>-0.6439992491187253</v>
      </c>
      <c r="T22" s="14">
        <f t="shared" si="7"/>
        <v>-1.021545193953034</v>
      </c>
      <c r="U22" s="14">
        <f t="shared" si="0"/>
        <v>1.6450753177324271</v>
      </c>
      <c r="V22" s="15">
        <v>0.43855453049223025</v>
      </c>
      <c r="W22" s="15">
        <v>-0.59322270750429695</v>
      </c>
      <c r="X22" s="15">
        <v>0.77399189637705967</v>
      </c>
      <c r="Y22" s="15">
        <v>0.65983781898169913</v>
      </c>
      <c r="Z22" s="15">
        <v>0.58080807309260341</v>
      </c>
      <c r="AA22" s="15"/>
      <c r="AB22" s="15"/>
    </row>
    <row r="23" spans="1:28" x14ac:dyDescent="0.25">
      <c r="A23">
        <v>1978</v>
      </c>
      <c r="B23" s="22">
        <f>'pollock Model 2017 data'!P17</f>
        <v>24.61</v>
      </c>
      <c r="C23" s="22">
        <f>'pollock Model 2017 data'!Q17</f>
        <v>5.42</v>
      </c>
      <c r="D23" s="22">
        <f>'pollock Model 2017 data'!R17</f>
        <v>3.05</v>
      </c>
      <c r="E23" s="22">
        <f>'pollock Model 2017 data'!S17</f>
        <v>2.13</v>
      </c>
      <c r="F23" s="22">
        <f>'pollock Model 2017 data'!T17</f>
        <v>1.1200000000000001</v>
      </c>
      <c r="G23" s="22">
        <f>'pollock Model 2017 data'!U17</f>
        <v>0.6</v>
      </c>
      <c r="H23" s="22">
        <f>'pollock Model 2017 data'!V17</f>
        <v>0.12</v>
      </c>
      <c r="I23" s="22">
        <f>'pollock Model 2017 data'!W17</f>
        <v>7.0000000000000007E-2</v>
      </c>
      <c r="J23" s="22">
        <f>'pollock Model 2017 data'!X17</f>
        <v>0.06</v>
      </c>
      <c r="K23" s="22">
        <f>'pollock Model 2017 data'!Y17</f>
        <v>0.06</v>
      </c>
      <c r="L23" s="12">
        <f>'All data'!N33</f>
        <v>-4.6759999999999993</v>
      </c>
      <c r="M23" s="12"/>
      <c r="N23" s="5">
        <f t="shared" si="1"/>
        <v>1978</v>
      </c>
      <c r="O23" s="14">
        <f t="shared" si="2"/>
        <v>0.14989944213047451</v>
      </c>
      <c r="P23" s="14">
        <f t="shared" si="3"/>
        <v>-0.66891977833493521</v>
      </c>
      <c r="Q23" s="14">
        <f t="shared" si="4"/>
        <v>-0.73229415714737855</v>
      </c>
      <c r="R23" s="14">
        <f t="shared" si="5"/>
        <v>-0.637874700108926</v>
      </c>
      <c r="S23" s="14">
        <f t="shared" si="6"/>
        <v>-0.69496548182865847</v>
      </c>
      <c r="T23" s="14">
        <f t="shared" si="7"/>
        <v>-0.68967957613139319</v>
      </c>
      <c r="U23" s="14">
        <f t="shared" si="0"/>
        <v>-8.4798008951113987E-2</v>
      </c>
      <c r="V23" s="15">
        <v>1.6450753177324271</v>
      </c>
      <c r="W23" s="15">
        <v>0.43855453049223025</v>
      </c>
      <c r="X23" s="15">
        <v>-0.59322270750429695</v>
      </c>
      <c r="Y23" s="15">
        <v>0.77399189637705967</v>
      </c>
      <c r="Z23" s="15">
        <v>0.65983781898169913</v>
      </c>
      <c r="AA23" s="15"/>
      <c r="AB23" s="15"/>
    </row>
    <row r="24" spans="1:28" x14ac:dyDescent="0.25">
      <c r="A24">
        <v>1979</v>
      </c>
      <c r="B24" s="22">
        <f>'pollock Model 2017 data'!P18</f>
        <v>59.44</v>
      </c>
      <c r="C24" s="22">
        <f>'pollock Model 2017 data'!Q18</f>
        <v>9.98</v>
      </c>
      <c r="D24" s="22">
        <f>'pollock Model 2017 data'!R18</f>
        <v>3.19</v>
      </c>
      <c r="E24" s="22">
        <f>'pollock Model 2017 data'!S18</f>
        <v>1.65</v>
      </c>
      <c r="F24" s="22">
        <f>'pollock Model 2017 data'!T18</f>
        <v>1.07</v>
      </c>
      <c r="G24" s="22">
        <f>'pollock Model 2017 data'!U18</f>
        <v>0.54</v>
      </c>
      <c r="H24" s="22">
        <f>'pollock Model 2017 data'!V18</f>
        <v>0.28999999999999998</v>
      </c>
      <c r="I24" s="22">
        <f>'pollock Model 2017 data'!W18</f>
        <v>0.06</v>
      </c>
      <c r="J24" s="22">
        <f>'pollock Model 2017 data'!X18</f>
        <v>0.04</v>
      </c>
      <c r="K24" s="22">
        <f>'pollock Model 2017 data'!Y18</f>
        <v>0.06</v>
      </c>
      <c r="L24" s="12">
        <f>'All data'!N34</f>
        <v>-3.338000000000001</v>
      </c>
      <c r="M24" s="12"/>
      <c r="N24" s="5">
        <f t="shared" si="1"/>
        <v>1979</v>
      </c>
      <c r="O24" s="14">
        <f t="shared" si="2"/>
        <v>2.7478893863604705</v>
      </c>
      <c r="P24" s="14">
        <f t="shared" si="3"/>
        <v>0.16020941836895286</v>
      </c>
      <c r="Q24" s="14">
        <f t="shared" si="4"/>
        <v>-0.69256867043645587</v>
      </c>
      <c r="R24" s="14">
        <f t="shared" si="5"/>
        <v>-0.82205329236495084</v>
      </c>
      <c r="S24" s="14">
        <f t="shared" si="6"/>
        <v>-0.72328005555639929</v>
      </c>
      <c r="T24" s="14">
        <f t="shared" si="7"/>
        <v>-0.74499051243499992</v>
      </c>
      <c r="U24" s="14">
        <f t="shared" si="0"/>
        <v>1.0901108799334425</v>
      </c>
      <c r="V24" s="15">
        <v>-8.4798008951113987E-2</v>
      </c>
      <c r="W24" s="15">
        <v>1.6450753177324271</v>
      </c>
      <c r="X24" s="15">
        <v>0.43855453049223025</v>
      </c>
      <c r="Y24" s="15">
        <v>-0.59322270750429695</v>
      </c>
      <c r="Z24" s="15">
        <v>0.77399189637705967</v>
      </c>
      <c r="AA24" s="15"/>
      <c r="AB24" s="15"/>
    </row>
    <row r="25" spans="1:28" x14ac:dyDescent="0.25">
      <c r="A25">
        <v>1980</v>
      </c>
      <c r="B25" s="22">
        <f>'pollock Model 2017 data'!P19</f>
        <v>26.54</v>
      </c>
      <c r="C25" s="22">
        <f>'pollock Model 2017 data'!Q19</f>
        <v>24.11</v>
      </c>
      <c r="D25" s="22">
        <f>'pollock Model 2017 data'!R19</f>
        <v>6.02</v>
      </c>
      <c r="E25" s="22">
        <f>'pollock Model 2017 data'!S19</f>
        <v>1.82</v>
      </c>
      <c r="F25" s="22">
        <f>'pollock Model 2017 data'!T19</f>
        <v>0.85</v>
      </c>
      <c r="G25" s="22">
        <f>'pollock Model 2017 data'!U19</f>
        <v>0.49</v>
      </c>
      <c r="H25" s="22">
        <f>'pollock Model 2017 data'!V19</f>
        <v>0.24</v>
      </c>
      <c r="I25" s="22">
        <f>'pollock Model 2017 data'!W19</f>
        <v>0.13</v>
      </c>
      <c r="J25" s="22">
        <f>'pollock Model 2017 data'!X19</f>
        <v>0.03</v>
      </c>
      <c r="K25" s="22">
        <f>'pollock Model 2017 data'!Y19</f>
        <v>0.04</v>
      </c>
      <c r="L25" s="12">
        <f>'All data'!N35</f>
        <v>-4.7869999999999999</v>
      </c>
      <c r="M25" s="12"/>
      <c r="N25" s="5">
        <f t="shared" si="1"/>
        <v>1980</v>
      </c>
      <c r="O25" s="14">
        <f t="shared" si="2"/>
        <v>0.29385926390377026</v>
      </c>
      <c r="P25" s="14">
        <f t="shared" si="3"/>
        <v>2.7294189686816583</v>
      </c>
      <c r="Q25" s="14">
        <f t="shared" si="4"/>
        <v>0.11045366807719509</v>
      </c>
      <c r="R25" s="14">
        <f t="shared" si="5"/>
        <v>-0.75682337427427526</v>
      </c>
      <c r="S25" s="14">
        <f t="shared" si="6"/>
        <v>-0.84786417995845842</v>
      </c>
      <c r="T25" s="14">
        <f t="shared" si="7"/>
        <v>-0.79108295935467232</v>
      </c>
      <c r="U25" s="14">
        <f t="shared" si="0"/>
        <v>-0.18226802888099941</v>
      </c>
      <c r="V25" s="15">
        <v>1.0901108799334425</v>
      </c>
      <c r="W25" s="15">
        <v>-8.4798008951113987E-2</v>
      </c>
      <c r="X25" s="15">
        <v>1.6450753177324271</v>
      </c>
      <c r="Y25" s="15">
        <v>0.43855453049223025</v>
      </c>
      <c r="Z25" s="15">
        <v>-0.59322270750429695</v>
      </c>
      <c r="AA25" s="15"/>
      <c r="AB25" s="15"/>
    </row>
    <row r="26" spans="1:28" x14ac:dyDescent="0.25">
      <c r="A26">
        <v>1981</v>
      </c>
      <c r="B26" s="22">
        <f>'pollock Model 2017 data'!P20</f>
        <v>30.73</v>
      </c>
      <c r="C26" s="22">
        <f>'pollock Model 2017 data'!Q20</f>
        <v>10.77</v>
      </c>
      <c r="D26" s="22">
        <f>'pollock Model 2017 data'!R20</f>
        <v>14.94</v>
      </c>
      <c r="E26" s="22">
        <f>'pollock Model 2017 data'!S20</f>
        <v>3.77</v>
      </c>
      <c r="F26" s="22">
        <f>'pollock Model 2017 data'!T20</f>
        <v>0.96</v>
      </c>
      <c r="G26" s="22">
        <f>'pollock Model 2017 data'!U20</f>
        <v>0.4</v>
      </c>
      <c r="H26" s="22">
        <f>'pollock Model 2017 data'!V20</f>
        <v>0.22</v>
      </c>
      <c r="I26" s="22">
        <f>'pollock Model 2017 data'!W20</f>
        <v>0.11</v>
      </c>
      <c r="J26" s="22">
        <f>'pollock Model 2017 data'!X20</f>
        <v>0.06</v>
      </c>
      <c r="K26" s="22">
        <f>'pollock Model 2017 data'!Y20</f>
        <v>0.03</v>
      </c>
      <c r="L26" s="12">
        <f>'All data'!N36</f>
        <v>-3.262999999999999</v>
      </c>
      <c r="M26" s="12"/>
      <c r="N26" s="5">
        <f t="shared" si="1"/>
        <v>1981</v>
      </c>
      <c r="O26" s="14">
        <f t="shared" si="2"/>
        <v>0.60639379925615866</v>
      </c>
      <c r="P26" s="14">
        <f t="shared" si="3"/>
        <v>0.30385241516633682</v>
      </c>
      <c r="Q26" s="14">
        <f t="shared" si="4"/>
        <v>2.6415346785159826</v>
      </c>
      <c r="R26" s="14">
        <f t="shared" si="5"/>
        <v>-8.5978432341746024E-3</v>
      </c>
      <c r="S26" s="14">
        <f t="shared" si="6"/>
        <v>-0.78557211775742886</v>
      </c>
      <c r="T26" s="14">
        <f t="shared" si="7"/>
        <v>-0.87404936381008247</v>
      </c>
      <c r="U26" s="14">
        <f t="shared" si="0"/>
        <v>1.1559690015076907</v>
      </c>
      <c r="V26" s="15">
        <v>-0.18226802888099941</v>
      </c>
      <c r="W26" s="15">
        <v>1.0901108799334425</v>
      </c>
      <c r="X26" s="15">
        <v>-8.4798008951113987E-2</v>
      </c>
      <c r="Y26" s="15">
        <v>1.6450753177324271</v>
      </c>
      <c r="Z26" s="15">
        <v>0.43855453049223025</v>
      </c>
      <c r="AA26" s="15"/>
      <c r="AB26" s="15"/>
    </row>
    <row r="27" spans="1:28" x14ac:dyDescent="0.25">
      <c r="A27">
        <v>1982</v>
      </c>
      <c r="B27" s="22">
        <f>'pollock Model 2017 data'!P21</f>
        <v>16.899999999999999</v>
      </c>
      <c r="C27" s="22">
        <f>'pollock Model 2017 data'!Q21</f>
        <v>12.48</v>
      </c>
      <c r="D27" s="22">
        <f>'pollock Model 2017 data'!R21</f>
        <v>6.77</v>
      </c>
      <c r="E27" s="22">
        <f>'pollock Model 2017 data'!S21</f>
        <v>10.15</v>
      </c>
      <c r="F27" s="22">
        <f>'pollock Model 2017 data'!T21</f>
        <v>2.2200000000000002</v>
      </c>
      <c r="G27" s="22">
        <f>'pollock Model 2017 data'!U21</f>
        <v>0.5</v>
      </c>
      <c r="H27" s="22">
        <f>'pollock Model 2017 data'!V21</f>
        <v>0.2</v>
      </c>
      <c r="I27" s="22">
        <f>'pollock Model 2017 data'!W21</f>
        <v>0.12</v>
      </c>
      <c r="J27" s="22">
        <f>'pollock Model 2017 data'!X21</f>
        <v>0.06</v>
      </c>
      <c r="K27" s="22">
        <f>'pollock Model 2017 data'!Y21</f>
        <v>0.05</v>
      </c>
      <c r="L27" s="12">
        <f>'All data'!N37</f>
        <v>-5.6909999999999998</v>
      </c>
      <c r="M27" s="12"/>
      <c r="N27" s="5">
        <f t="shared" si="1"/>
        <v>1982</v>
      </c>
      <c r="O27" s="14">
        <f t="shared" si="2"/>
        <v>-0.42519393915041187</v>
      </c>
      <c r="P27" s="14">
        <f t="shared" si="3"/>
        <v>0.61477586393029493</v>
      </c>
      <c r="Q27" s="14">
        <f t="shared" si="4"/>
        <v>0.32326877545713795</v>
      </c>
      <c r="R27" s="14">
        <f t="shared" si="5"/>
        <v>2.439442612168822</v>
      </c>
      <c r="S27" s="14">
        <f t="shared" si="6"/>
        <v>-7.2044859818362464E-2</v>
      </c>
      <c r="T27" s="14">
        <f t="shared" si="7"/>
        <v>-0.78186446997073789</v>
      </c>
      <c r="U27" s="14">
        <f t="shared" si="0"/>
        <v>-0.97607792092258405</v>
      </c>
      <c r="V27" s="15">
        <v>1.1559690015076907</v>
      </c>
      <c r="W27" s="15">
        <v>-0.18226802888099941</v>
      </c>
      <c r="X27" s="15">
        <v>1.0901108799334425</v>
      </c>
      <c r="Y27" s="15">
        <v>-8.4798008951113987E-2</v>
      </c>
      <c r="Z27" s="15">
        <v>1.6450753177324271</v>
      </c>
      <c r="AA27" s="15"/>
      <c r="AB27" s="15"/>
    </row>
    <row r="28" spans="1:28" x14ac:dyDescent="0.25">
      <c r="A28">
        <v>1983</v>
      </c>
      <c r="B28" s="22">
        <f>'pollock Model 2017 data'!P22</f>
        <v>50.85</v>
      </c>
      <c r="C28" s="22">
        <f>'pollock Model 2017 data'!Q22</f>
        <v>6.87</v>
      </c>
      <c r="D28" s="22">
        <f>'pollock Model 2017 data'!R22</f>
        <v>7.89</v>
      </c>
      <c r="E28" s="22">
        <f>'pollock Model 2017 data'!S22</f>
        <v>4.8099999999999996</v>
      </c>
      <c r="F28" s="22">
        <f>'pollock Model 2017 data'!T22</f>
        <v>6.57</v>
      </c>
      <c r="G28" s="22">
        <f>'pollock Model 2017 data'!U22</f>
        <v>1.31</v>
      </c>
      <c r="H28" s="22">
        <f>'pollock Model 2017 data'!V22</f>
        <v>0.28999999999999998</v>
      </c>
      <c r="I28" s="22">
        <f>'pollock Model 2017 data'!W22</f>
        <v>0.12</v>
      </c>
      <c r="J28" s="22">
        <f>'pollock Model 2017 data'!X22</f>
        <v>7.0000000000000007E-2</v>
      </c>
      <c r="K28" s="22">
        <f>'pollock Model 2017 data'!Y22</f>
        <v>0.06</v>
      </c>
      <c r="L28" s="12">
        <f>'All data'!N38</f>
        <v>-1.6980000000000004</v>
      </c>
      <c r="M28" s="12"/>
      <c r="N28" s="5">
        <f t="shared" si="1"/>
        <v>1983</v>
      </c>
      <c r="O28" s="14">
        <f t="shared" si="2"/>
        <v>2.1071562935974599</v>
      </c>
      <c r="P28" s="14">
        <f t="shared" si="3"/>
        <v>-0.40527123990935676</v>
      </c>
      <c r="Q28" s="14">
        <f t="shared" si="4"/>
        <v>0.64107266914451932</v>
      </c>
      <c r="R28" s="14">
        <f t="shared" si="5"/>
        <v>0.39045577332054565</v>
      </c>
      <c r="S28" s="14">
        <f t="shared" si="6"/>
        <v>2.3913230544950808</v>
      </c>
      <c r="T28" s="14">
        <f t="shared" si="7"/>
        <v>-3.5166829872046196E-2</v>
      </c>
      <c r="U28" s="14">
        <f t="shared" si="0"/>
        <v>2.5302084716903002</v>
      </c>
      <c r="V28" s="15">
        <v>-0.97607792092258405</v>
      </c>
      <c r="W28" s="15">
        <v>1.1559690015076907</v>
      </c>
      <c r="X28" s="15">
        <v>-0.18226802888099941</v>
      </c>
      <c r="Y28" s="15">
        <v>1.0901108799334425</v>
      </c>
      <c r="Z28" s="15">
        <v>-8.4798008951113987E-2</v>
      </c>
      <c r="AA28" s="15"/>
      <c r="AB28" s="15"/>
    </row>
    <row r="29" spans="1:28" x14ac:dyDescent="0.25">
      <c r="A29">
        <v>1984</v>
      </c>
      <c r="B29" s="22">
        <f>'pollock Model 2017 data'!P23</f>
        <v>14.31</v>
      </c>
      <c r="C29" s="22">
        <f>'pollock Model 2017 data'!Q23</f>
        <v>20.67</v>
      </c>
      <c r="D29" s="22">
        <f>'pollock Model 2017 data'!R23</f>
        <v>4.3499999999999996</v>
      </c>
      <c r="E29" s="22">
        <f>'pollock Model 2017 data'!S23</f>
        <v>5.67</v>
      </c>
      <c r="F29" s="22">
        <f>'pollock Model 2017 data'!T23</f>
        <v>3.24</v>
      </c>
      <c r="G29" s="22">
        <f>'pollock Model 2017 data'!U23</f>
        <v>4.13</v>
      </c>
      <c r="H29" s="22">
        <f>'pollock Model 2017 data'!V23</f>
        <v>0.79</v>
      </c>
      <c r="I29" s="22">
        <f>'pollock Model 2017 data'!W23</f>
        <v>0.17</v>
      </c>
      <c r="J29" s="22">
        <f>'pollock Model 2017 data'!X23</f>
        <v>7.0000000000000007E-2</v>
      </c>
      <c r="K29" s="22">
        <f>'pollock Model 2017 data'!Y23</f>
        <v>0.08</v>
      </c>
      <c r="L29" s="12">
        <f>'All data'!N39</f>
        <v>-4.5990000000000002</v>
      </c>
      <c r="M29" s="12"/>
      <c r="N29" s="5">
        <f t="shared" si="1"/>
        <v>1984</v>
      </c>
      <c r="O29" s="14">
        <f t="shared" si="2"/>
        <v>-0.61838354453530087</v>
      </c>
      <c r="P29" s="14">
        <f t="shared" si="3"/>
        <v>2.1039355395892518</v>
      </c>
      <c r="Q29" s="14">
        <f t="shared" si="4"/>
        <v>-0.36341463768881099</v>
      </c>
      <c r="R29" s="14">
        <f t="shared" si="5"/>
        <v>0.72044241777925688</v>
      </c>
      <c r="S29" s="14">
        <f t="shared" si="6"/>
        <v>0.50557244422754832</v>
      </c>
      <c r="T29" s="14">
        <f t="shared" si="7"/>
        <v>2.5644471763974725</v>
      </c>
      <c r="U29" s="14">
        <f t="shared" si="0"/>
        <v>-1.7183670801555036E-2</v>
      </c>
      <c r="V29" s="15">
        <v>2.5302084716903002</v>
      </c>
      <c r="W29" s="15">
        <v>-0.97607792092258405</v>
      </c>
      <c r="X29" s="15">
        <v>1.1559690015076907</v>
      </c>
      <c r="Y29" s="15">
        <v>-0.18226802888099941</v>
      </c>
      <c r="Z29" s="15">
        <v>1.0901108799334425</v>
      </c>
      <c r="AA29" s="15"/>
      <c r="AB29" s="15"/>
    </row>
    <row r="30" spans="1:28" x14ac:dyDescent="0.25">
      <c r="A30">
        <v>1985</v>
      </c>
      <c r="B30" s="22">
        <f>'pollock Model 2017 data'!P24</f>
        <v>34.42</v>
      </c>
      <c r="C30" s="22">
        <f>'pollock Model 2017 data'!Q24</f>
        <v>5.82</v>
      </c>
      <c r="D30" s="22">
        <f>'pollock Model 2017 data'!R24</f>
        <v>13.1</v>
      </c>
      <c r="E30" s="22">
        <f>'pollock Model 2017 data'!S24</f>
        <v>3.13</v>
      </c>
      <c r="F30" s="22">
        <f>'pollock Model 2017 data'!T24</f>
        <v>3.87</v>
      </c>
      <c r="G30" s="22">
        <f>'pollock Model 2017 data'!U24</f>
        <v>2.0299999999999998</v>
      </c>
      <c r="H30" s="22">
        <f>'pollock Model 2017 data'!V24</f>
        <v>2.52</v>
      </c>
      <c r="I30" s="22">
        <f>'pollock Model 2017 data'!W24</f>
        <v>0.48</v>
      </c>
      <c r="J30" s="22">
        <f>'pollock Model 2017 data'!X24</f>
        <v>0.11</v>
      </c>
      <c r="K30" s="22">
        <f>'pollock Model 2017 data'!Y24</f>
        <v>0.09</v>
      </c>
      <c r="L30" s="12">
        <f>'All data'!N40</f>
        <v>-6.2210000000000001</v>
      </c>
      <c r="M30" s="12"/>
      <c r="N30" s="5">
        <f t="shared" si="1"/>
        <v>1985</v>
      </c>
      <c r="O30" s="14">
        <f t="shared" si="2"/>
        <v>0.88163304399370357</v>
      </c>
      <c r="P30" s="14">
        <f t="shared" si="3"/>
        <v>-0.59618914704512038</v>
      </c>
      <c r="Q30" s="14">
        <f t="shared" si="4"/>
        <v>2.1194282817438559</v>
      </c>
      <c r="R30" s="14">
        <f t="shared" si="5"/>
        <v>-0.25416929957554102</v>
      </c>
      <c r="S30" s="14">
        <f t="shared" si="6"/>
        <v>0.8623360731970815</v>
      </c>
      <c r="T30" s="14">
        <f t="shared" si="7"/>
        <v>0.62856440577123507</v>
      </c>
      <c r="U30" s="14">
        <f t="shared" si="0"/>
        <v>-1.4414753133805931</v>
      </c>
      <c r="V30" s="15">
        <v>-1.7183670801555036E-2</v>
      </c>
      <c r="W30" s="15">
        <v>2.5302084716903002</v>
      </c>
      <c r="X30" s="15">
        <v>-0.97607792092258405</v>
      </c>
      <c r="Y30" s="15">
        <v>1.1559690015076907</v>
      </c>
      <c r="Z30" s="15">
        <v>-0.18226802888099941</v>
      </c>
      <c r="AA30" s="15"/>
      <c r="AB30" s="15"/>
    </row>
    <row r="31" spans="1:28" x14ac:dyDescent="0.25">
      <c r="A31">
        <v>1986</v>
      </c>
      <c r="B31" s="22">
        <f>'pollock Model 2017 data'!P25</f>
        <v>14.22</v>
      </c>
      <c r="C31" s="22">
        <f>'pollock Model 2017 data'!Q25</f>
        <v>13.99</v>
      </c>
      <c r="D31" s="22">
        <f>'pollock Model 2017 data'!R25</f>
        <v>3.69</v>
      </c>
      <c r="E31" s="22">
        <f>'pollock Model 2017 data'!S25</f>
        <v>9.4</v>
      </c>
      <c r="F31" s="22">
        <f>'pollock Model 2017 data'!T25</f>
        <v>2.15</v>
      </c>
      <c r="G31" s="22">
        <f>'pollock Model 2017 data'!U25</f>
        <v>2.5099999999999998</v>
      </c>
      <c r="H31" s="22">
        <f>'pollock Model 2017 data'!V25</f>
        <v>1.22</v>
      </c>
      <c r="I31" s="22">
        <f>'pollock Model 2017 data'!W25</f>
        <v>1.52</v>
      </c>
      <c r="J31" s="22">
        <f>'pollock Model 2017 data'!X25</f>
        <v>0.28999999999999998</v>
      </c>
      <c r="K31" s="22">
        <f>'pollock Model 2017 data'!Y25</f>
        <v>0.11</v>
      </c>
      <c r="L31" s="12">
        <f>'All data'!N41</f>
        <v>-4.3039999999999994</v>
      </c>
      <c r="M31" s="12"/>
      <c r="N31" s="5">
        <f t="shared" si="1"/>
        <v>1986</v>
      </c>
      <c r="O31" s="14">
        <f t="shared" si="2"/>
        <v>-0.62509669684597269</v>
      </c>
      <c r="P31" s="14">
        <f t="shared" si="3"/>
        <v>0.88933399704934557</v>
      </c>
      <c r="Q31" s="14">
        <f t="shared" si="4"/>
        <v>-0.5506919321831607</v>
      </c>
      <c r="R31" s="14">
        <f t="shared" si="5"/>
        <v>2.1516635617687832</v>
      </c>
      <c r="S31" s="14">
        <f t="shared" si="6"/>
        <v>-0.11168526303719964</v>
      </c>
      <c r="T31" s="14">
        <f t="shared" si="7"/>
        <v>1.0710518962000892</v>
      </c>
      <c r="U31" s="14">
        <f t="shared" si="0"/>
        <v>0.24185827405714869</v>
      </c>
      <c r="V31" s="15">
        <v>-1.4414753133805931</v>
      </c>
      <c r="W31" s="15">
        <v>-1.7183670801555036E-2</v>
      </c>
      <c r="X31" s="15">
        <v>2.5302084716903002</v>
      </c>
      <c r="Y31" s="15">
        <v>-0.97607792092258405</v>
      </c>
      <c r="Z31" s="15">
        <v>1.1559690015076907</v>
      </c>
      <c r="AA31" s="15"/>
      <c r="AB31" s="15"/>
    </row>
    <row r="32" spans="1:28" x14ac:dyDescent="0.25">
      <c r="A32">
        <v>1987</v>
      </c>
      <c r="B32" s="22">
        <f>'pollock Model 2017 data'!P26</f>
        <v>7.65</v>
      </c>
      <c r="C32" s="22">
        <f>'pollock Model 2017 data'!Q26</f>
        <v>5.78</v>
      </c>
      <c r="D32" s="22">
        <f>'pollock Model 2017 data'!R26</f>
        <v>8.8699999999999992</v>
      </c>
      <c r="E32" s="22">
        <f>'pollock Model 2017 data'!S26</f>
        <v>2.65</v>
      </c>
      <c r="F32" s="22">
        <f>'pollock Model 2017 data'!T26</f>
        <v>6.44</v>
      </c>
      <c r="G32" s="22">
        <f>'pollock Model 2017 data'!U26</f>
        <v>1.42</v>
      </c>
      <c r="H32" s="22">
        <f>'pollock Model 2017 data'!V26</f>
        <v>1.54</v>
      </c>
      <c r="I32" s="22">
        <f>'pollock Model 2017 data'!W26</f>
        <v>0.74</v>
      </c>
      <c r="J32" s="22">
        <f>'pollock Model 2017 data'!X26</f>
        <v>0.94</v>
      </c>
      <c r="K32" s="22">
        <f>'pollock Model 2017 data'!Y26</f>
        <v>0.24</v>
      </c>
      <c r="L32" s="12">
        <f>'All data'!N42</f>
        <v>-4.3159999999999989</v>
      </c>
      <c r="M32" s="12"/>
      <c r="N32" s="5">
        <f t="shared" si="1"/>
        <v>1987</v>
      </c>
      <c r="O32" s="14">
        <f t="shared" si="2"/>
        <v>-1.115156815525016</v>
      </c>
      <c r="P32" s="14">
        <f t="shared" si="3"/>
        <v>-0.60346221017410195</v>
      </c>
      <c r="Q32" s="14">
        <f t="shared" si="4"/>
        <v>0.91915107612097791</v>
      </c>
      <c r="R32" s="14">
        <f t="shared" si="5"/>
        <v>-0.43834789183156581</v>
      </c>
      <c r="S32" s="14">
        <f t="shared" si="6"/>
        <v>2.3177051628029548</v>
      </c>
      <c r="T32" s="14">
        <f t="shared" si="7"/>
        <v>6.6236553351232796E-2</v>
      </c>
      <c r="U32" s="14">
        <f t="shared" si="0"/>
        <v>0.2313209746052696</v>
      </c>
      <c r="V32" s="15">
        <v>0.24185827405714869</v>
      </c>
      <c r="W32" s="15">
        <v>-1.4414753133805931</v>
      </c>
      <c r="X32" s="15">
        <v>-1.7183670801555036E-2</v>
      </c>
      <c r="Y32" s="15">
        <v>2.5302084716903002</v>
      </c>
      <c r="Z32" s="15">
        <v>-0.97607792092258405</v>
      </c>
      <c r="AA32" s="15"/>
      <c r="AB32" s="15"/>
    </row>
    <row r="33" spans="1:28" x14ac:dyDescent="0.25">
      <c r="A33">
        <v>1988</v>
      </c>
      <c r="B33" s="22">
        <f>'pollock Model 2017 data'!P27</f>
        <v>5.75</v>
      </c>
      <c r="C33" s="22">
        <f>'pollock Model 2017 data'!Q27</f>
        <v>3.11</v>
      </c>
      <c r="D33" s="22">
        <f>'pollock Model 2017 data'!R27</f>
        <v>3.67</v>
      </c>
      <c r="E33" s="22">
        <f>'pollock Model 2017 data'!S27</f>
        <v>6.41</v>
      </c>
      <c r="F33" s="22">
        <f>'pollock Model 2017 data'!T27</f>
        <v>1.86</v>
      </c>
      <c r="G33" s="22">
        <f>'pollock Model 2017 data'!U27</f>
        <v>4.3899999999999997</v>
      </c>
      <c r="H33" s="22">
        <f>'pollock Model 2017 data'!V27</f>
        <v>0.93</v>
      </c>
      <c r="I33" s="22">
        <f>'pollock Model 2017 data'!W27</f>
        <v>1</v>
      </c>
      <c r="J33" s="22">
        <f>'pollock Model 2017 data'!X27</f>
        <v>0.47</v>
      </c>
      <c r="K33" s="22">
        <f>'pollock Model 2017 data'!Y27</f>
        <v>0.75</v>
      </c>
      <c r="L33" s="12">
        <f>'All data'!N43</f>
        <v>-5.4089999999999998</v>
      </c>
      <c r="M33" s="12"/>
      <c r="N33" s="5">
        <f t="shared" si="1"/>
        <v>1988</v>
      </c>
      <c r="O33" s="14">
        <f t="shared" si="2"/>
        <v>-1.2568789198614212</v>
      </c>
      <c r="P33" s="14">
        <f t="shared" si="3"/>
        <v>-1.0889391740336154</v>
      </c>
      <c r="Q33" s="14">
        <f t="shared" si="4"/>
        <v>-0.55636700171329245</v>
      </c>
      <c r="R33" s="14">
        <f t="shared" si="5"/>
        <v>1.0043844141739617</v>
      </c>
      <c r="S33" s="14">
        <f t="shared" si="6"/>
        <v>-0.27590979065809573</v>
      </c>
      <c r="T33" s="14">
        <f t="shared" si="7"/>
        <v>2.8041279003797683</v>
      </c>
      <c r="U33" s="14">
        <f t="shared" si="0"/>
        <v>-0.72845138380341712</v>
      </c>
      <c r="V33" s="15">
        <v>0.2313209746052696</v>
      </c>
      <c r="W33" s="15">
        <v>0.24185827405714869</v>
      </c>
      <c r="X33" s="15">
        <v>-1.4414753133805931</v>
      </c>
      <c r="Y33" s="15">
        <v>-1.7183670801555036E-2</v>
      </c>
      <c r="Z33" s="15">
        <v>2.5302084716903002</v>
      </c>
      <c r="AA33" s="15"/>
      <c r="AB33" s="15"/>
    </row>
    <row r="34" spans="1:28" x14ac:dyDescent="0.25">
      <c r="A34">
        <v>1989</v>
      </c>
      <c r="B34" s="22">
        <f>'pollock Model 2017 data'!P28</f>
        <v>11.05</v>
      </c>
      <c r="C34" s="22">
        <f>'pollock Model 2017 data'!Q28</f>
        <v>2.34</v>
      </c>
      <c r="D34" s="22">
        <f>'pollock Model 2017 data'!R28</f>
        <v>1.97</v>
      </c>
      <c r="E34" s="22">
        <f>'pollock Model 2017 data'!S28</f>
        <v>2.57</v>
      </c>
      <c r="F34" s="22">
        <f>'pollock Model 2017 data'!T28</f>
        <v>4.41</v>
      </c>
      <c r="G34" s="22">
        <f>'pollock Model 2017 data'!U28</f>
        <v>1.21</v>
      </c>
      <c r="H34" s="22">
        <f>'pollock Model 2017 data'!V28</f>
        <v>2.78</v>
      </c>
      <c r="I34" s="22">
        <f>'pollock Model 2017 data'!W28</f>
        <v>0.56000000000000005</v>
      </c>
      <c r="J34" s="22">
        <f>'pollock Model 2017 data'!X28</f>
        <v>0.62</v>
      </c>
      <c r="K34" s="22">
        <f>'pollock Model 2017 data'!Y28</f>
        <v>0.74</v>
      </c>
      <c r="L34" s="12">
        <f>'All data'!N44</f>
        <v>-5.4909999999999997</v>
      </c>
      <c r="M34" s="12"/>
      <c r="N34" s="5">
        <f t="shared" si="1"/>
        <v>1989</v>
      </c>
      <c r="O34" s="14">
        <f t="shared" si="2"/>
        <v>-0.86154883934408033</v>
      </c>
      <c r="P34" s="14">
        <f t="shared" si="3"/>
        <v>-1.2289456392665088</v>
      </c>
      <c r="Q34" s="14">
        <f t="shared" si="4"/>
        <v>-1.0387479117744964</v>
      </c>
      <c r="R34" s="14">
        <f t="shared" si="5"/>
        <v>-0.46904432387423667</v>
      </c>
      <c r="S34" s="14">
        <f t="shared" si="6"/>
        <v>1.1681334694566814</v>
      </c>
      <c r="T34" s="14">
        <f t="shared" si="7"/>
        <v>-0.12735172371139092</v>
      </c>
      <c r="U34" s="14">
        <f t="shared" si="0"/>
        <v>-0.80045626339125986</v>
      </c>
      <c r="V34" s="15">
        <v>-0.72845138380341712</v>
      </c>
      <c r="W34" s="15">
        <v>0.2313209746052696</v>
      </c>
      <c r="X34" s="15">
        <v>0.24185827405714869</v>
      </c>
      <c r="Y34" s="15">
        <v>-1.4414753133805931</v>
      </c>
      <c r="Z34" s="15">
        <v>-1.7183670801555036E-2</v>
      </c>
      <c r="AA34" s="15"/>
      <c r="AB34" s="15"/>
    </row>
    <row r="35" spans="1:28" x14ac:dyDescent="0.25">
      <c r="A35">
        <v>1990</v>
      </c>
      <c r="B35" s="22">
        <f>'pollock Model 2017 data'!P29</f>
        <v>48.53</v>
      </c>
      <c r="C35" s="22">
        <f>'pollock Model 2017 data'!Q29</f>
        <v>4.49</v>
      </c>
      <c r="D35" s="22">
        <f>'pollock Model 2017 data'!R29</f>
        <v>1.48</v>
      </c>
      <c r="E35" s="22">
        <f>'pollock Model 2017 data'!S29</f>
        <v>1.4</v>
      </c>
      <c r="F35" s="22">
        <f>'pollock Model 2017 data'!T29</f>
        <v>1.74</v>
      </c>
      <c r="G35" s="22">
        <f>'pollock Model 2017 data'!U29</f>
        <v>2.86</v>
      </c>
      <c r="H35" s="22">
        <f>'pollock Model 2017 data'!V29</f>
        <v>0.76</v>
      </c>
      <c r="I35" s="22">
        <f>'pollock Model 2017 data'!W29</f>
        <v>1.66</v>
      </c>
      <c r="J35" s="22">
        <f>'pollock Model 2017 data'!X29</f>
        <v>0.34</v>
      </c>
      <c r="K35" s="22">
        <f>'pollock Model 2017 data'!Y29</f>
        <v>0.83</v>
      </c>
      <c r="L35" s="12">
        <f>'All data'!N45</f>
        <v>-5.0629999999999997</v>
      </c>
      <c r="M35" s="12"/>
      <c r="N35" s="5">
        <f t="shared" si="1"/>
        <v>1990</v>
      </c>
      <c r="O35" s="14">
        <f t="shared" si="2"/>
        <v>1.9341061451445862</v>
      </c>
      <c r="P35" s="14">
        <f t="shared" si="3"/>
        <v>-0.83801849608375445</v>
      </c>
      <c r="Q35" s="14">
        <f t="shared" si="4"/>
        <v>-1.1777871152627257</v>
      </c>
      <c r="R35" s="14">
        <f t="shared" si="5"/>
        <v>-0.91797964249829711</v>
      </c>
      <c r="S35" s="14">
        <f t="shared" si="6"/>
        <v>-0.34386476760467355</v>
      </c>
      <c r="T35" s="14">
        <f t="shared" si="7"/>
        <v>1.3936990246377956</v>
      </c>
      <c r="U35" s="14">
        <f t="shared" si="0"/>
        <v>-0.42462591627422647</v>
      </c>
      <c r="V35" s="15">
        <v>-0.80045626339125986</v>
      </c>
      <c r="W35" s="15">
        <v>-0.72845138380341712</v>
      </c>
      <c r="X35" s="15">
        <v>0.2313209746052696</v>
      </c>
      <c r="Y35" s="15">
        <v>0.24185827405714869</v>
      </c>
      <c r="Z35" s="15">
        <v>-1.4414753133805931</v>
      </c>
      <c r="AA35" s="15"/>
      <c r="AB35" s="15"/>
    </row>
    <row r="36" spans="1:28" x14ac:dyDescent="0.25">
      <c r="A36">
        <v>1991</v>
      </c>
      <c r="B36" s="22">
        <f>'pollock Model 2017 data'!P30</f>
        <v>25.25</v>
      </c>
      <c r="C36" s="22">
        <f>'pollock Model 2017 data'!Q30</f>
        <v>19.73</v>
      </c>
      <c r="D36" s="22">
        <f>'pollock Model 2017 data'!R30</f>
        <v>2.85</v>
      </c>
      <c r="E36" s="22">
        <f>'pollock Model 2017 data'!S30</f>
        <v>1.05</v>
      </c>
      <c r="F36" s="22">
        <f>'pollock Model 2017 data'!T30</f>
        <v>0.91</v>
      </c>
      <c r="G36" s="22">
        <f>'pollock Model 2017 data'!U30</f>
        <v>1.03</v>
      </c>
      <c r="H36" s="22">
        <f>'pollock Model 2017 data'!V30</f>
        <v>1.64</v>
      </c>
      <c r="I36" s="22">
        <f>'pollock Model 2017 data'!W30</f>
        <v>0.42</v>
      </c>
      <c r="J36" s="22">
        <f>'pollock Model 2017 data'!X30</f>
        <v>0.91</v>
      </c>
      <c r="K36" s="22">
        <f>'pollock Model 2017 data'!Y30</f>
        <v>0.66</v>
      </c>
      <c r="L36" s="12">
        <f>'All data'!N46</f>
        <v>-5.4340000000000002</v>
      </c>
      <c r="M36" s="12"/>
      <c r="N36" s="5">
        <f t="shared" si="1"/>
        <v>1991</v>
      </c>
      <c r="O36" s="14">
        <f t="shared" si="2"/>
        <v>0.19763741411747418</v>
      </c>
      <c r="P36" s="14">
        <f t="shared" si="3"/>
        <v>1.9330185560581872</v>
      </c>
      <c r="Q36" s="14">
        <f t="shared" si="4"/>
        <v>-0.7890448524486966</v>
      </c>
      <c r="R36" s="14">
        <f t="shared" si="5"/>
        <v>-1.0522765326849819</v>
      </c>
      <c r="S36" s="14">
        <f t="shared" si="6"/>
        <v>-0.81388669148516957</v>
      </c>
      <c r="T36" s="14">
        <f t="shared" si="7"/>
        <v>-0.29328453262221121</v>
      </c>
      <c r="U36" s="14">
        <f t="shared" si="0"/>
        <v>-0.75040409099483296</v>
      </c>
      <c r="V36" s="15">
        <v>-0.42462591627422647</v>
      </c>
      <c r="W36" s="15">
        <v>-0.80045626339125986</v>
      </c>
      <c r="X36" s="15">
        <v>-0.72845138380341712</v>
      </c>
      <c r="Y36" s="15">
        <v>0.2313209746052696</v>
      </c>
      <c r="Z36" s="15">
        <v>0.24185827405714869</v>
      </c>
      <c r="AA36" s="15"/>
      <c r="AB36" s="15"/>
    </row>
    <row r="37" spans="1:28" x14ac:dyDescent="0.25">
      <c r="A37">
        <v>1992</v>
      </c>
      <c r="B37" s="22">
        <f>'pollock Model 2017 data'!P31</f>
        <v>22.23</v>
      </c>
      <c r="C37" s="22">
        <f>'pollock Model 2017 data'!Q31</f>
        <v>10.26</v>
      </c>
      <c r="D37" s="22">
        <f>'pollock Model 2017 data'!R31</f>
        <v>12.5</v>
      </c>
      <c r="E37" s="22">
        <f>'pollock Model 2017 data'!S31</f>
        <v>2.04</v>
      </c>
      <c r="F37" s="22">
        <f>'pollock Model 2017 data'!T31</f>
        <v>0.7</v>
      </c>
      <c r="G37" s="22">
        <f>'pollock Model 2017 data'!U31</f>
        <v>0.56000000000000005</v>
      </c>
      <c r="H37" s="22">
        <f>'pollock Model 2017 data'!V31</f>
        <v>0.59</v>
      </c>
      <c r="I37" s="22">
        <f>'pollock Model 2017 data'!W31</f>
        <v>0.85</v>
      </c>
      <c r="J37" s="22">
        <f>'pollock Model 2017 data'!X31</f>
        <v>0.23</v>
      </c>
      <c r="K37" s="22">
        <f>'pollock Model 2017 data'!Y31</f>
        <v>0.82</v>
      </c>
      <c r="L37" s="12">
        <f>'All data'!N47</f>
        <v>-5.1300000000000008</v>
      </c>
      <c r="M37" s="12"/>
      <c r="N37" s="5">
        <f t="shared" si="1"/>
        <v>1992</v>
      </c>
      <c r="O37" s="14">
        <f t="shared" si="2"/>
        <v>-2.7626141196180339E-2</v>
      </c>
      <c r="P37" s="14">
        <f t="shared" si="3"/>
        <v>0.21112086027182306</v>
      </c>
      <c r="Q37" s="14">
        <f t="shared" si="4"/>
        <v>1.9491761958399016</v>
      </c>
      <c r="R37" s="14">
        <f t="shared" si="5"/>
        <v>-0.67240818615693065</v>
      </c>
      <c r="S37" s="14">
        <f t="shared" si="6"/>
        <v>-0.93280790114168066</v>
      </c>
      <c r="T37" s="14">
        <f t="shared" si="7"/>
        <v>-0.72655353366713105</v>
      </c>
      <c r="U37" s="14">
        <f t="shared" si="0"/>
        <v>-0.48345917154722096</v>
      </c>
      <c r="V37" s="15">
        <v>-0.75040409099483296</v>
      </c>
      <c r="W37" s="15">
        <v>-0.42462591627422647</v>
      </c>
      <c r="X37" s="15">
        <v>-0.80045626339125986</v>
      </c>
      <c r="Y37" s="15">
        <v>-0.72845138380341712</v>
      </c>
      <c r="Z37" s="15">
        <v>0.2313209746052696</v>
      </c>
      <c r="AA37" s="15"/>
      <c r="AB37" s="15"/>
    </row>
    <row r="38" spans="1:28" x14ac:dyDescent="0.25">
      <c r="A38">
        <v>1993</v>
      </c>
      <c r="B38" s="22">
        <f>'pollock Model 2017 data'!P32</f>
        <v>45.92</v>
      </c>
      <c r="C38" s="22">
        <f>'pollock Model 2017 data'!Q32</f>
        <v>9.0399999999999991</v>
      </c>
      <c r="D38" s="22">
        <f>'pollock Model 2017 data'!R32</f>
        <v>6.49</v>
      </c>
      <c r="E38" s="22">
        <f>'pollock Model 2017 data'!S32</f>
        <v>8.68</v>
      </c>
      <c r="F38" s="22">
        <f>'pollock Model 2017 data'!T32</f>
        <v>1.34</v>
      </c>
      <c r="G38" s="22">
        <f>'pollock Model 2017 data'!U32</f>
        <v>0.43</v>
      </c>
      <c r="H38" s="22">
        <f>'pollock Model 2017 data'!V32</f>
        <v>0.3</v>
      </c>
      <c r="I38" s="22">
        <f>'pollock Model 2017 data'!W32</f>
        <v>0.28000000000000003</v>
      </c>
      <c r="J38" s="22">
        <f>'pollock Model 2017 data'!X32</f>
        <v>0.39</v>
      </c>
      <c r="K38" s="22">
        <f>'pollock Model 2017 data'!Y32</f>
        <v>0.48</v>
      </c>
      <c r="L38" s="12">
        <f>'All data'!N48</f>
        <v>-2.9620000000000006</v>
      </c>
      <c r="M38" s="12"/>
      <c r="N38" s="5">
        <f t="shared" si="1"/>
        <v>1993</v>
      </c>
      <c r="O38" s="14">
        <f t="shared" si="2"/>
        <v>1.7394247281351034</v>
      </c>
      <c r="P38" s="14">
        <f t="shared" si="3"/>
        <v>-1.0707565162111996E-2</v>
      </c>
      <c r="Q38" s="14">
        <f t="shared" si="4"/>
        <v>0.2438178020352928</v>
      </c>
      <c r="R38" s="14">
        <f t="shared" si="5"/>
        <v>1.8753956733847457</v>
      </c>
      <c r="S38" s="14">
        <f t="shared" si="6"/>
        <v>-0.57038135742659934</v>
      </c>
      <c r="T38" s="14">
        <f t="shared" si="7"/>
        <v>-0.84639389565827916</v>
      </c>
      <c r="U38" s="14">
        <f t="shared" si="0"/>
        <v>1.420279596092332</v>
      </c>
      <c r="V38" s="15">
        <v>-0.48345917154722096</v>
      </c>
      <c r="W38" s="15">
        <v>-0.75040409099483296</v>
      </c>
      <c r="X38" s="15">
        <v>-0.42462591627422647</v>
      </c>
      <c r="Y38" s="15">
        <v>-0.80045626339125986</v>
      </c>
      <c r="Z38" s="15">
        <v>-0.72845138380341712</v>
      </c>
      <c r="AA38" s="15"/>
      <c r="AB38" s="15"/>
    </row>
    <row r="39" spans="1:28" x14ac:dyDescent="0.25">
      <c r="A39">
        <v>1994</v>
      </c>
      <c r="B39" s="22">
        <f>'pollock Model 2017 data'!P33</f>
        <v>15.39</v>
      </c>
      <c r="C39" s="22">
        <f>'pollock Model 2017 data'!Q33</f>
        <v>18.670000000000002</v>
      </c>
      <c r="D39" s="22">
        <f>'pollock Model 2017 data'!R33</f>
        <v>5.74</v>
      </c>
      <c r="E39" s="22">
        <f>'pollock Model 2017 data'!S33</f>
        <v>4.63</v>
      </c>
      <c r="F39" s="22">
        <f>'pollock Model 2017 data'!T33</f>
        <v>5.52</v>
      </c>
      <c r="G39" s="22">
        <f>'pollock Model 2017 data'!U33</f>
        <v>0.87</v>
      </c>
      <c r="H39" s="22">
        <f>'pollock Model 2017 data'!V33</f>
        <v>0.25</v>
      </c>
      <c r="I39" s="22">
        <f>'pollock Model 2017 data'!W33</f>
        <v>0.16</v>
      </c>
      <c r="J39" s="22">
        <f>'pollock Model 2017 data'!X33</f>
        <v>0.15</v>
      </c>
      <c r="K39" s="22">
        <f>'pollock Model 2017 data'!Y33</f>
        <v>0.47</v>
      </c>
      <c r="L39" s="12">
        <f>'All data'!N49</f>
        <v>-5.6870000000000012</v>
      </c>
      <c r="M39" s="12"/>
      <c r="N39" s="5">
        <f t="shared" si="1"/>
        <v>1994</v>
      </c>
      <c r="O39" s="14">
        <f t="shared" si="2"/>
        <v>-0.53782571680723901</v>
      </c>
      <c r="P39" s="14">
        <f t="shared" si="3"/>
        <v>1.7402823831401784</v>
      </c>
      <c r="Q39" s="14">
        <f t="shared" si="4"/>
        <v>3.1002694655349928E-2</v>
      </c>
      <c r="R39" s="14">
        <f t="shared" si="5"/>
        <v>0.32138880122453645</v>
      </c>
      <c r="S39" s="14">
        <f t="shared" si="6"/>
        <v>1.7967170062125251</v>
      </c>
      <c r="T39" s="14">
        <f t="shared" si="7"/>
        <v>-0.44078036276516269</v>
      </c>
      <c r="U39" s="14">
        <f t="shared" si="0"/>
        <v>-0.97256548777195884</v>
      </c>
      <c r="V39" s="15">
        <v>1.420279596092332</v>
      </c>
      <c r="W39" s="15">
        <v>-0.48345917154722096</v>
      </c>
      <c r="X39" s="15">
        <v>-0.75040409099483296</v>
      </c>
      <c r="Y39" s="15">
        <v>-0.42462591627422647</v>
      </c>
      <c r="Z39" s="15">
        <v>-0.80045626339125986</v>
      </c>
      <c r="AA39" s="15"/>
      <c r="AB39" s="15"/>
    </row>
    <row r="40" spans="1:28" x14ac:dyDescent="0.25">
      <c r="A40">
        <v>1995</v>
      </c>
      <c r="B40" s="22">
        <f>'pollock Model 2017 data'!P34</f>
        <v>10.52</v>
      </c>
      <c r="C40" s="22">
        <f>'pollock Model 2017 data'!Q34</f>
        <v>6.26</v>
      </c>
      <c r="D40" s="22">
        <f>'pollock Model 2017 data'!R34</f>
        <v>11.87</v>
      </c>
      <c r="E40" s="22">
        <f>'pollock Model 2017 data'!S34</f>
        <v>4.18</v>
      </c>
      <c r="F40" s="22">
        <f>'pollock Model 2017 data'!T34</f>
        <v>3.15</v>
      </c>
      <c r="G40" s="22">
        <f>'pollock Model 2017 data'!U34</f>
        <v>3.25</v>
      </c>
      <c r="H40" s="22">
        <f>'pollock Model 2017 data'!V34</f>
        <v>0.51</v>
      </c>
      <c r="I40" s="22">
        <f>'pollock Model 2017 data'!W34</f>
        <v>0.14000000000000001</v>
      </c>
      <c r="J40" s="22">
        <f>'pollock Model 2017 data'!X34</f>
        <v>0.09</v>
      </c>
      <c r="K40" s="22">
        <f>'pollock Model 2017 data'!Y34</f>
        <v>0.34</v>
      </c>
      <c r="L40" s="12">
        <f>'All data'!N50</f>
        <v>-4.2039999999999997</v>
      </c>
      <c r="M40" s="12"/>
      <c r="N40" s="5">
        <f t="shared" si="1"/>
        <v>1995</v>
      </c>
      <c r="O40" s="14">
        <f t="shared" si="2"/>
        <v>-0.90108184739581443</v>
      </c>
      <c r="P40" s="14">
        <f t="shared" si="3"/>
        <v>-0.51618545262632431</v>
      </c>
      <c r="Q40" s="14">
        <f t="shared" si="4"/>
        <v>1.7704115056407494</v>
      </c>
      <c r="R40" s="14">
        <f t="shared" si="5"/>
        <v>0.14872137098451313</v>
      </c>
      <c r="S40" s="14">
        <f t="shared" si="6"/>
        <v>0.45460621151761488</v>
      </c>
      <c r="T40" s="14">
        <f t="shared" si="7"/>
        <v>1.7532201106112399</v>
      </c>
      <c r="U40" s="14">
        <f t="shared" si="0"/>
        <v>0.32966910282281037</v>
      </c>
      <c r="V40" s="15">
        <v>-0.97256548777195884</v>
      </c>
      <c r="W40" s="15">
        <v>1.420279596092332</v>
      </c>
      <c r="X40" s="15">
        <v>-0.48345917154722096</v>
      </c>
      <c r="Y40" s="15">
        <v>-0.75040409099483296</v>
      </c>
      <c r="Z40" s="15">
        <v>-0.42462591627422647</v>
      </c>
      <c r="AA40" s="15"/>
      <c r="AB40" s="15"/>
    </row>
    <row r="41" spans="1:28" x14ac:dyDescent="0.25">
      <c r="A41">
        <v>1996</v>
      </c>
      <c r="B41" s="22">
        <f>'pollock Model 2017 data'!P35</f>
        <v>22.66</v>
      </c>
      <c r="C41" s="22">
        <f>'pollock Model 2017 data'!Q35</f>
        <v>4.28</v>
      </c>
      <c r="D41" s="22">
        <f>'pollock Model 2017 data'!R35</f>
        <v>3.98</v>
      </c>
      <c r="E41" s="22">
        <f>'pollock Model 2017 data'!S35</f>
        <v>8.69</v>
      </c>
      <c r="F41" s="22">
        <f>'pollock Model 2017 data'!T35</f>
        <v>2.97</v>
      </c>
      <c r="G41" s="22">
        <f>'pollock Model 2017 data'!U35</f>
        <v>2</v>
      </c>
      <c r="H41" s="22">
        <f>'pollock Model 2017 data'!V35</f>
        <v>1.77</v>
      </c>
      <c r="I41" s="22">
        <f>'pollock Model 2017 data'!W35</f>
        <v>0.28999999999999998</v>
      </c>
      <c r="J41" s="22">
        <f>'pollock Model 2017 data'!X35</f>
        <v>0.08</v>
      </c>
      <c r="K41" s="22">
        <f>'pollock Model 2017 data'!Y35</f>
        <v>0.24</v>
      </c>
      <c r="L41" s="12">
        <f>'All data'!N51</f>
        <v>-4.3389999999999995</v>
      </c>
      <c r="M41" s="12"/>
      <c r="N41" s="5">
        <f t="shared" si="1"/>
        <v>1996</v>
      </c>
      <c r="O41" s="14">
        <f t="shared" si="2"/>
        <v>4.4478087325850249E-3</v>
      </c>
      <c r="P41" s="14">
        <f t="shared" si="3"/>
        <v>-0.87620207751090717</v>
      </c>
      <c r="Q41" s="14">
        <f t="shared" si="4"/>
        <v>-0.4684034239962494</v>
      </c>
      <c r="R41" s="14">
        <f t="shared" si="5"/>
        <v>1.8792327273900793</v>
      </c>
      <c r="S41" s="14">
        <f t="shared" si="6"/>
        <v>0.35267374609774843</v>
      </c>
      <c r="T41" s="14">
        <f t="shared" si="7"/>
        <v>0.60090893761943176</v>
      </c>
      <c r="U41" s="14">
        <f t="shared" si="0"/>
        <v>0.21112448398916683</v>
      </c>
      <c r="V41" s="15">
        <v>0.32966910282281037</v>
      </c>
      <c r="W41" s="15">
        <v>-0.97256548777195884</v>
      </c>
      <c r="X41" s="15">
        <v>1.420279596092332</v>
      </c>
      <c r="Y41" s="15">
        <v>-0.48345917154722096</v>
      </c>
      <c r="Z41" s="15">
        <v>-0.75040409099483296</v>
      </c>
      <c r="AA41" s="15"/>
      <c r="AB41" s="15"/>
    </row>
    <row r="42" spans="1:28" x14ac:dyDescent="0.25">
      <c r="A42">
        <v>1997</v>
      </c>
      <c r="B42" s="22">
        <f>'pollock Model 2017 data'!P36</f>
        <v>30.96</v>
      </c>
      <c r="C42" s="22">
        <f>'pollock Model 2017 data'!Q36</f>
        <v>9.2100000000000009</v>
      </c>
      <c r="D42" s="22">
        <f>'pollock Model 2017 data'!R36</f>
        <v>2.72</v>
      </c>
      <c r="E42" s="22">
        <f>'pollock Model 2017 data'!S36</f>
        <v>2.9</v>
      </c>
      <c r="F42" s="22">
        <f>'pollock Model 2017 data'!T36</f>
        <v>6.29</v>
      </c>
      <c r="G42" s="22">
        <f>'pollock Model 2017 data'!U36</f>
        <v>2.02</v>
      </c>
      <c r="H42" s="22">
        <f>'pollock Model 2017 data'!V36</f>
        <v>1.1499999999999999</v>
      </c>
      <c r="I42" s="22">
        <f>'pollock Model 2017 data'!W36</f>
        <v>0.87</v>
      </c>
      <c r="J42" s="22">
        <f>'pollock Model 2017 data'!X36</f>
        <v>0.14000000000000001</v>
      </c>
      <c r="K42" s="22">
        <f>'pollock Model 2017 data'!Y36</f>
        <v>0.17</v>
      </c>
      <c r="L42" s="12">
        <f>'All data'!N52</f>
        <v>-2.5919999999999996</v>
      </c>
      <c r="M42" s="12"/>
      <c r="N42" s="5">
        <f t="shared" si="1"/>
        <v>1997</v>
      </c>
      <c r="O42" s="14">
        <f t="shared" si="2"/>
        <v>0.62354963293898669</v>
      </c>
      <c r="P42" s="14">
        <f t="shared" si="3"/>
        <v>2.0202953136059576E-2</v>
      </c>
      <c r="Q42" s="14">
        <f t="shared" si="4"/>
        <v>-0.82593280439455341</v>
      </c>
      <c r="R42" s="14">
        <f t="shared" si="5"/>
        <v>-0.34242154169821959</v>
      </c>
      <c r="S42" s="14">
        <f t="shared" si="6"/>
        <v>2.2327614416197328</v>
      </c>
      <c r="T42" s="14">
        <f t="shared" si="7"/>
        <v>0.61934591638730074</v>
      </c>
      <c r="U42" s="14">
        <f t="shared" si="0"/>
        <v>1.7451796625252824</v>
      </c>
      <c r="V42" s="15">
        <v>0.21112448398916683</v>
      </c>
      <c r="W42" s="15">
        <v>0.32966910282281037</v>
      </c>
      <c r="X42" s="15">
        <v>-0.97256548777195884</v>
      </c>
      <c r="Y42" s="15">
        <v>1.420279596092332</v>
      </c>
      <c r="Z42" s="15">
        <v>-0.48345917154722096</v>
      </c>
      <c r="AA42" s="15"/>
      <c r="AB42" s="15"/>
    </row>
    <row r="43" spans="1:28" x14ac:dyDescent="0.25">
      <c r="A43">
        <v>1998</v>
      </c>
      <c r="B43" s="22">
        <f>'pollock Model 2017 data'!P37</f>
        <v>15.26</v>
      </c>
      <c r="C43" s="22">
        <f>'pollock Model 2017 data'!Q37</f>
        <v>12.59</v>
      </c>
      <c r="D43" s="22">
        <f>'pollock Model 2017 data'!R37</f>
        <v>5.84</v>
      </c>
      <c r="E43" s="22">
        <f>'pollock Model 2017 data'!S37</f>
        <v>1.97</v>
      </c>
      <c r="F43" s="22">
        <f>'pollock Model 2017 data'!T37</f>
        <v>2.0699999999999998</v>
      </c>
      <c r="G43" s="22">
        <f>'pollock Model 2017 data'!U37</f>
        <v>4.2699999999999996</v>
      </c>
      <c r="H43" s="22">
        <f>'pollock Model 2017 data'!V37</f>
        <v>1.25</v>
      </c>
      <c r="I43" s="22">
        <f>'pollock Model 2017 data'!W37</f>
        <v>0.63</v>
      </c>
      <c r="J43" s="22">
        <f>'pollock Model 2017 data'!X37</f>
        <v>0.45</v>
      </c>
      <c r="K43" s="22">
        <f>'pollock Model 2017 data'!Y37</f>
        <v>0.16</v>
      </c>
      <c r="L43" s="12">
        <f>'All data'!N53</f>
        <v>-6.822000000000001</v>
      </c>
      <c r="M43" s="12"/>
      <c r="N43" s="5">
        <f t="shared" si="1"/>
        <v>1998</v>
      </c>
      <c r="O43" s="14">
        <f t="shared" si="2"/>
        <v>-0.54752249236709838</v>
      </c>
      <c r="P43" s="14">
        <f t="shared" si="3"/>
        <v>0.63477678753499389</v>
      </c>
      <c r="Q43" s="14">
        <f t="shared" si="4"/>
        <v>5.9378042306008877E-2</v>
      </c>
      <c r="R43" s="14">
        <f t="shared" si="5"/>
        <v>-0.69926756419426761</v>
      </c>
      <c r="S43" s="14">
        <f t="shared" si="6"/>
        <v>-0.15698858100158483</v>
      </c>
      <c r="T43" s="14">
        <f t="shared" si="7"/>
        <v>2.6935060277725547</v>
      </c>
      <c r="U43" s="14">
        <f t="shared" si="0"/>
        <v>-1.9692183942622226</v>
      </c>
      <c r="V43" s="15">
        <v>1.7451796625252824</v>
      </c>
      <c r="W43" s="15">
        <v>0.21112448398916683</v>
      </c>
      <c r="X43" s="15">
        <v>0.32966910282281037</v>
      </c>
      <c r="Y43" s="15">
        <v>-0.97256548777195884</v>
      </c>
      <c r="Z43" s="15">
        <v>1.420279596092332</v>
      </c>
      <c r="AA43" s="15"/>
      <c r="AB43" s="15"/>
    </row>
    <row r="44" spans="1:28" x14ac:dyDescent="0.25">
      <c r="A44">
        <v>1999</v>
      </c>
      <c r="B44" s="22">
        <f>'pollock Model 2017 data'!P38</f>
        <v>16.420000000000002</v>
      </c>
      <c r="C44" s="22">
        <f>'pollock Model 2017 data'!Q38</f>
        <v>6.2</v>
      </c>
      <c r="D44" s="22">
        <f>'pollock Model 2017 data'!R38</f>
        <v>7.99</v>
      </c>
      <c r="E44" s="22">
        <f>'pollock Model 2017 data'!S38</f>
        <v>4.2300000000000004</v>
      </c>
      <c r="F44" s="22">
        <f>'pollock Model 2017 data'!T38</f>
        <v>1.39</v>
      </c>
      <c r="G44" s="22">
        <f>'pollock Model 2017 data'!U38</f>
        <v>1.4</v>
      </c>
      <c r="H44" s="22">
        <f>'pollock Model 2017 data'!V38</f>
        <v>2.59</v>
      </c>
      <c r="I44" s="22">
        <f>'pollock Model 2017 data'!W38</f>
        <v>0.75</v>
      </c>
      <c r="J44" s="22">
        <f>'pollock Model 2017 data'!X38</f>
        <v>0.34</v>
      </c>
      <c r="K44" s="22">
        <f>'pollock Model 2017 data'!Y38</f>
        <v>0.33</v>
      </c>
      <c r="L44" s="12">
        <f>'All data'!N54</f>
        <v>-6.7829999999999995</v>
      </c>
      <c r="M44" s="12"/>
      <c r="N44" s="5">
        <f t="shared" si="1"/>
        <v>1999</v>
      </c>
      <c r="O44" s="14">
        <f t="shared" si="2"/>
        <v>-0.46099741814066136</v>
      </c>
      <c r="P44" s="14">
        <f t="shared" si="3"/>
        <v>-0.52709504731979639</v>
      </c>
      <c r="Q44" s="14">
        <f t="shared" si="4"/>
        <v>0.66944801679517851</v>
      </c>
      <c r="R44" s="14">
        <f t="shared" si="5"/>
        <v>0.16790664101118266</v>
      </c>
      <c r="S44" s="14">
        <f t="shared" si="6"/>
        <v>-0.54206678369885875</v>
      </c>
      <c r="T44" s="14">
        <f t="shared" si="7"/>
        <v>4.7799574583363855E-2</v>
      </c>
      <c r="U44" s="14">
        <f t="shared" si="0"/>
        <v>-1.9349721710436132</v>
      </c>
      <c r="V44" s="15">
        <v>-1.9692183942622226</v>
      </c>
      <c r="W44" s="15">
        <v>1.7451796625252824</v>
      </c>
      <c r="X44" s="15">
        <v>0.21112448398916683</v>
      </c>
      <c r="Y44" s="15">
        <v>0.32966910282281037</v>
      </c>
      <c r="Z44" s="15">
        <v>-0.97256548777195884</v>
      </c>
      <c r="AA44" s="15"/>
      <c r="AB44" s="15"/>
    </row>
    <row r="45" spans="1:28" x14ac:dyDescent="0.25">
      <c r="A45">
        <v>2000</v>
      </c>
      <c r="B45" s="22">
        <f>'pollock Model 2017 data'!P39</f>
        <v>25.51</v>
      </c>
      <c r="C45" s="22">
        <f>'pollock Model 2017 data'!Q39</f>
        <v>6.67</v>
      </c>
      <c r="D45" s="22">
        <f>'pollock Model 2017 data'!R39</f>
        <v>3.95</v>
      </c>
      <c r="E45" s="22">
        <f>'pollock Model 2017 data'!S39</f>
        <v>5.69</v>
      </c>
      <c r="F45" s="22">
        <f>'pollock Model 2017 data'!T39</f>
        <v>2.94</v>
      </c>
      <c r="G45" s="22">
        <f>'pollock Model 2017 data'!U39</f>
        <v>0.94</v>
      </c>
      <c r="H45" s="22">
        <f>'pollock Model 2017 data'!V39</f>
        <v>0.9</v>
      </c>
      <c r="I45" s="22">
        <f>'pollock Model 2017 data'!W39</f>
        <v>1.52</v>
      </c>
      <c r="J45" s="22">
        <f>'pollock Model 2017 data'!X39</f>
        <v>0.44</v>
      </c>
      <c r="K45" s="22">
        <f>'pollock Model 2017 data'!Y39</f>
        <v>0.4</v>
      </c>
      <c r="L45" s="12">
        <f>'All data'!N55</f>
        <v>-3.274</v>
      </c>
      <c r="M45" s="12"/>
      <c r="N45" s="5">
        <f t="shared" si="1"/>
        <v>2000</v>
      </c>
      <c r="O45" s="14">
        <f t="shared" si="2"/>
        <v>0.2170309652371929</v>
      </c>
      <c r="P45" s="14">
        <f t="shared" si="3"/>
        <v>-0.44163655555426418</v>
      </c>
      <c r="Q45" s="14">
        <f t="shared" si="4"/>
        <v>-0.47691602829144708</v>
      </c>
      <c r="R45" s="14">
        <f t="shared" si="5"/>
        <v>0.7281165257899247</v>
      </c>
      <c r="S45" s="14">
        <f t="shared" si="6"/>
        <v>0.33568500186110384</v>
      </c>
      <c r="T45" s="14">
        <f t="shared" si="7"/>
        <v>-0.37625093707762147</v>
      </c>
      <c r="U45" s="14">
        <f t="shared" si="0"/>
        <v>1.146309810343467</v>
      </c>
      <c r="V45" s="15">
        <v>-1.9349721710436132</v>
      </c>
      <c r="W45" s="15">
        <v>-1.9692183942622226</v>
      </c>
      <c r="X45" s="15">
        <v>1.7451796625252824</v>
      </c>
      <c r="Y45" s="15">
        <v>0.21112448398916683</v>
      </c>
      <c r="Z45" s="15">
        <v>0.32966910282281037</v>
      </c>
      <c r="AA45" s="15"/>
      <c r="AB45" s="15"/>
    </row>
    <row r="46" spans="1:28" x14ac:dyDescent="0.25">
      <c r="A46">
        <v>2001</v>
      </c>
      <c r="B46" s="22">
        <f>'pollock Model 2017 data'!P40</f>
        <v>34.909999999999997</v>
      </c>
      <c r="C46" s="22">
        <f>'pollock Model 2017 data'!Q40</f>
        <v>10.37</v>
      </c>
      <c r="D46" s="22">
        <f>'pollock Model 2017 data'!R40</f>
        <v>4.25</v>
      </c>
      <c r="E46" s="22">
        <f>'pollock Model 2017 data'!S40</f>
        <v>2.85</v>
      </c>
      <c r="F46" s="22">
        <f>'pollock Model 2017 data'!T40</f>
        <v>3.85</v>
      </c>
      <c r="G46" s="22">
        <f>'pollock Model 2017 data'!U40</f>
        <v>1.88</v>
      </c>
      <c r="H46" s="22">
        <f>'pollock Model 2017 data'!V40</f>
        <v>0.6</v>
      </c>
      <c r="I46" s="22">
        <f>'pollock Model 2017 data'!W40</f>
        <v>0.52</v>
      </c>
      <c r="J46" s="22">
        <f>'pollock Model 2017 data'!X40</f>
        <v>0.83</v>
      </c>
      <c r="K46" s="22">
        <f>'pollock Model 2017 data'!Y40</f>
        <v>0.5</v>
      </c>
      <c r="L46" s="12">
        <f>'All data'!N56</f>
        <v>-3.907</v>
      </c>
      <c r="M46" s="12"/>
      <c r="N46" s="5">
        <f t="shared" si="1"/>
        <v>2001</v>
      </c>
      <c r="O46" s="14">
        <f t="shared" si="2"/>
        <v>0.91818242879624978</v>
      </c>
      <c r="P46" s="14">
        <f t="shared" si="3"/>
        <v>0.23112178387652202</v>
      </c>
      <c r="Q46" s="14">
        <f t="shared" si="4"/>
        <v>-0.39178998533946996</v>
      </c>
      <c r="R46" s="14">
        <f t="shared" si="5"/>
        <v>-0.36160681172488879</v>
      </c>
      <c r="S46" s="14">
        <f t="shared" si="6"/>
        <v>0.85101024370598521</v>
      </c>
      <c r="T46" s="14">
        <f t="shared" si="7"/>
        <v>0.49028706501221814</v>
      </c>
      <c r="U46" s="14">
        <f t="shared" si="0"/>
        <v>0.59046726425682639</v>
      </c>
      <c r="V46" s="15">
        <v>1.146309810343467</v>
      </c>
      <c r="W46" s="15">
        <v>-1.9349721710436132</v>
      </c>
      <c r="X46" s="15">
        <v>-1.9692183942622226</v>
      </c>
      <c r="Y46" s="15">
        <v>1.7451796625252824</v>
      </c>
      <c r="Z46" s="15">
        <v>0.21112448398916683</v>
      </c>
      <c r="AA46" s="15"/>
      <c r="AB46" s="15"/>
    </row>
    <row r="47" spans="1:28" x14ac:dyDescent="0.25">
      <c r="A47">
        <v>2002</v>
      </c>
      <c r="B47" s="22">
        <f>'pollock Model 2017 data'!P41</f>
        <v>23.45</v>
      </c>
      <c r="C47" s="22">
        <f>'pollock Model 2017 data'!Q41</f>
        <v>14.19</v>
      </c>
      <c r="D47" s="22">
        <f>'pollock Model 2017 data'!R41</f>
        <v>6.6</v>
      </c>
      <c r="E47" s="22">
        <f>'pollock Model 2017 data'!S41</f>
        <v>3.09</v>
      </c>
      <c r="F47" s="22">
        <f>'pollock Model 2017 data'!T41</f>
        <v>1.97</v>
      </c>
      <c r="G47" s="22">
        <f>'pollock Model 2017 data'!U41</f>
        <v>2.33</v>
      </c>
      <c r="H47" s="22">
        <f>'pollock Model 2017 data'!V41</f>
        <v>1.04</v>
      </c>
      <c r="I47" s="22">
        <f>'pollock Model 2017 data'!W41</f>
        <v>0.33</v>
      </c>
      <c r="J47" s="22">
        <f>'pollock Model 2017 data'!X41</f>
        <v>0.28999999999999998</v>
      </c>
      <c r="K47" s="22">
        <f>'pollock Model 2017 data'!Y41</f>
        <v>0.76</v>
      </c>
      <c r="L47" s="12">
        <f>'All data'!N57</f>
        <v>-3.9580000000000002</v>
      </c>
      <c r="M47" s="12"/>
      <c r="N47" s="5">
        <f t="shared" si="1"/>
        <v>2002</v>
      </c>
      <c r="O47" s="14">
        <f t="shared" si="2"/>
        <v>6.3374367904037637E-2</v>
      </c>
      <c r="P47" s="14">
        <f t="shared" si="3"/>
        <v>0.92569931269425276</v>
      </c>
      <c r="Q47" s="14">
        <f t="shared" si="4"/>
        <v>0.27503068445101758</v>
      </c>
      <c r="R47" s="14">
        <f t="shared" si="5"/>
        <v>-0.26951751559687648</v>
      </c>
      <c r="S47" s="14">
        <f t="shared" si="6"/>
        <v>-0.21361772845706622</v>
      </c>
      <c r="T47" s="14">
        <f t="shared" si="7"/>
        <v>0.90511908728926915</v>
      </c>
      <c r="U47" s="14">
        <f t="shared" si="0"/>
        <v>0.54568374158633859</v>
      </c>
      <c r="V47" s="15">
        <v>0.59046726425682639</v>
      </c>
      <c r="W47" s="15">
        <v>1.146309810343467</v>
      </c>
      <c r="X47" s="15">
        <v>-1.9349721710436132</v>
      </c>
      <c r="Y47" s="15">
        <v>-1.9692183942622226</v>
      </c>
      <c r="Z47" s="15">
        <v>1.7451796625252824</v>
      </c>
      <c r="AA47" s="15"/>
      <c r="AB47" s="15"/>
    </row>
    <row r="48" spans="1:28" x14ac:dyDescent="0.25">
      <c r="A48">
        <v>2003</v>
      </c>
      <c r="B48" s="22">
        <f>'pollock Model 2017 data'!P42</f>
        <v>14.41</v>
      </c>
      <c r="C48" s="22">
        <f>'pollock Model 2017 data'!Q42</f>
        <v>9.5299999999999994</v>
      </c>
      <c r="D48" s="22">
        <f>'pollock Model 2017 data'!R42</f>
        <v>9.02</v>
      </c>
      <c r="E48" s="22">
        <f>'pollock Model 2017 data'!S42</f>
        <v>4.79</v>
      </c>
      <c r="F48" s="22">
        <f>'pollock Model 2017 data'!T42</f>
        <v>2.11</v>
      </c>
      <c r="G48" s="22">
        <f>'pollock Model 2017 data'!U42</f>
        <v>1.21</v>
      </c>
      <c r="H48" s="22">
        <f>'pollock Model 2017 data'!V42</f>
        <v>1.19</v>
      </c>
      <c r="I48" s="22">
        <f>'pollock Model 2017 data'!W42</f>
        <v>0.53</v>
      </c>
      <c r="J48" s="22">
        <f>'pollock Model 2017 data'!X42</f>
        <v>0.17</v>
      </c>
      <c r="K48" s="22">
        <f>'pollock Model 2017 data'!Y42</f>
        <v>0.56999999999999995</v>
      </c>
      <c r="L48" s="12">
        <f>'All data'!N58</f>
        <v>-4.8</v>
      </c>
      <c r="M48" s="12"/>
      <c r="N48" s="5">
        <f t="shared" si="1"/>
        <v>2003</v>
      </c>
      <c r="O48" s="14">
        <f t="shared" si="2"/>
        <v>-0.61092448641233221</v>
      </c>
      <c r="P48" s="14">
        <f t="shared" si="3"/>
        <v>7.8387458167911095E-2</v>
      </c>
      <c r="Q48" s="14">
        <f t="shared" si="4"/>
        <v>0.96171409759696658</v>
      </c>
      <c r="R48" s="14">
        <f t="shared" si="5"/>
        <v>0.38278166530987812</v>
      </c>
      <c r="S48" s="14">
        <f t="shared" si="6"/>
        <v>-0.13433692201939224</v>
      </c>
      <c r="T48" s="14">
        <f t="shared" si="7"/>
        <v>-0.12735172371139092</v>
      </c>
      <c r="U48" s="14">
        <f t="shared" si="0"/>
        <v>-0.19368343662053539</v>
      </c>
      <c r="V48" s="15">
        <v>0.54568374158633859</v>
      </c>
      <c r="W48" s="15">
        <v>0.59046726425682639</v>
      </c>
      <c r="X48" s="15">
        <v>1.146309810343467</v>
      </c>
      <c r="Y48" s="15">
        <v>-1.9349721710436132</v>
      </c>
      <c r="Z48" s="15">
        <v>-1.9692183942622226</v>
      </c>
      <c r="AA48" s="15"/>
      <c r="AB48" s="15"/>
    </row>
    <row r="49" spans="1:28" x14ac:dyDescent="0.25">
      <c r="A49">
        <v>2004</v>
      </c>
      <c r="B49" s="22">
        <f>'pollock Model 2017 data'!P43</f>
        <v>6.57</v>
      </c>
      <c r="C49" s="22">
        <f>'pollock Model 2017 data'!Q43</f>
        <v>5.86</v>
      </c>
      <c r="D49" s="22">
        <f>'pollock Model 2017 data'!R43</f>
        <v>6.07</v>
      </c>
      <c r="E49" s="22">
        <f>'pollock Model 2017 data'!S43</f>
        <v>6.36</v>
      </c>
      <c r="F49" s="22">
        <f>'pollock Model 2017 data'!T43</f>
        <v>3.25</v>
      </c>
      <c r="G49" s="22">
        <f>'pollock Model 2017 data'!U43</f>
        <v>1.25</v>
      </c>
      <c r="H49" s="22">
        <f>'pollock Model 2017 data'!V43</f>
        <v>0.63</v>
      </c>
      <c r="I49" s="22">
        <f>'pollock Model 2017 data'!W43</f>
        <v>0.59</v>
      </c>
      <c r="J49" s="22">
        <f>'pollock Model 2017 data'!X43</f>
        <v>0.26</v>
      </c>
      <c r="K49" s="22">
        <f>'pollock Model 2017 data'!Y43</f>
        <v>0.41</v>
      </c>
      <c r="L49" s="12">
        <f>'All data'!N59</f>
        <v>-4.9380000000000006</v>
      </c>
      <c r="M49" s="12"/>
      <c r="N49" s="5">
        <f t="shared" si="1"/>
        <v>2004</v>
      </c>
      <c r="O49" s="14">
        <f t="shared" si="2"/>
        <v>-1.1957146432530779</v>
      </c>
      <c r="P49" s="14">
        <f t="shared" si="3"/>
        <v>-0.58891608391613892</v>
      </c>
      <c r="Q49" s="14">
        <f t="shared" si="4"/>
        <v>0.12464134190252481</v>
      </c>
      <c r="R49" s="14">
        <f t="shared" si="5"/>
        <v>0.98519914414729259</v>
      </c>
      <c r="S49" s="14">
        <f t="shared" si="6"/>
        <v>0.51123535897309635</v>
      </c>
      <c r="T49" s="14">
        <f t="shared" si="7"/>
        <v>-9.0477766175653021E-2</v>
      </c>
      <c r="U49" s="14">
        <f t="shared" si="0"/>
        <v>-0.31486238031714969</v>
      </c>
      <c r="V49" s="15">
        <v>-0.19368343662053539</v>
      </c>
      <c r="W49" s="15">
        <v>0.54568374158633859</v>
      </c>
      <c r="X49" s="15">
        <v>0.59046726425682639</v>
      </c>
      <c r="Y49" s="15">
        <v>1.146309810343467</v>
      </c>
      <c r="Z49" s="15">
        <v>-1.9349721710436132</v>
      </c>
      <c r="AA49" s="15"/>
      <c r="AB49" s="15"/>
    </row>
    <row r="50" spans="1:28" x14ac:dyDescent="0.25">
      <c r="A50">
        <v>2005</v>
      </c>
      <c r="B50" s="22">
        <f>'pollock Model 2017 data'!P44</f>
        <v>4.72</v>
      </c>
      <c r="C50" s="22">
        <f>'pollock Model 2017 data'!Q44</f>
        <v>2.67</v>
      </c>
      <c r="D50" s="22">
        <f>'pollock Model 2017 data'!R44</f>
        <v>3.73</v>
      </c>
      <c r="E50" s="22">
        <f>'pollock Model 2017 data'!S44</f>
        <v>4.4000000000000004</v>
      </c>
      <c r="F50" s="22">
        <f>'pollock Model 2017 data'!T44</f>
        <v>4</v>
      </c>
      <c r="G50" s="22">
        <f>'pollock Model 2017 data'!U44</f>
        <v>1.97</v>
      </c>
      <c r="H50" s="22">
        <f>'pollock Model 2017 data'!V44</f>
        <v>0.7</v>
      </c>
      <c r="I50" s="22">
        <f>'pollock Model 2017 data'!W44</f>
        <v>0.33</v>
      </c>
      <c r="J50" s="22">
        <f>'pollock Model 2017 data'!X44</f>
        <v>0.31</v>
      </c>
      <c r="K50" s="22">
        <f>'pollock Model 2017 data'!Y44</f>
        <v>0.38</v>
      </c>
      <c r="L50" s="12">
        <f>'All data'!N60</f>
        <v>-5.3960000000000008</v>
      </c>
      <c r="M50" s="12"/>
      <c r="N50" s="5">
        <f t="shared" si="1"/>
        <v>2005</v>
      </c>
      <c r="O50" s="14">
        <f t="shared" si="2"/>
        <v>-1.3337072185279988</v>
      </c>
      <c r="P50" s="14">
        <f t="shared" si="3"/>
        <v>-1.1689428684524115</v>
      </c>
      <c r="Q50" s="14">
        <f t="shared" si="4"/>
        <v>-0.53934179312289698</v>
      </c>
      <c r="R50" s="14">
        <f t="shared" si="5"/>
        <v>0.23313655910185807</v>
      </c>
      <c r="S50" s="14">
        <f t="shared" si="6"/>
        <v>0.93595396488920735</v>
      </c>
      <c r="T50" s="14">
        <f t="shared" si="7"/>
        <v>0.57325346946762834</v>
      </c>
      <c r="U50" s="14">
        <f t="shared" si="0"/>
        <v>-0.71703597606388192</v>
      </c>
      <c r="V50" s="15">
        <v>-0.31486238031714969</v>
      </c>
      <c r="W50" s="15">
        <v>-0.19368343662053539</v>
      </c>
      <c r="X50" s="15">
        <v>0.54568374158633859</v>
      </c>
      <c r="Y50" s="15">
        <v>0.59046726425682639</v>
      </c>
      <c r="Z50" s="15">
        <v>1.146309810343467</v>
      </c>
      <c r="AA50" s="15"/>
      <c r="AB50" s="15"/>
    </row>
    <row r="51" spans="1:28" x14ac:dyDescent="0.25">
      <c r="A51">
        <v>2006</v>
      </c>
      <c r="B51" s="22">
        <f>'pollock Model 2017 data'!P45</f>
        <v>11.9</v>
      </c>
      <c r="C51" s="22">
        <f>'pollock Model 2017 data'!Q45</f>
        <v>1.92</v>
      </c>
      <c r="D51" s="22">
        <f>'pollock Model 2017 data'!R45</f>
        <v>1.7</v>
      </c>
      <c r="E51" s="22">
        <f>'pollock Model 2017 data'!S45</f>
        <v>2.71</v>
      </c>
      <c r="F51" s="22">
        <f>'pollock Model 2017 data'!T45</f>
        <v>2.91</v>
      </c>
      <c r="G51" s="22">
        <f>'pollock Model 2017 data'!U45</f>
        <v>2.21</v>
      </c>
      <c r="H51" s="22">
        <f>'pollock Model 2017 data'!V45</f>
        <v>1.06</v>
      </c>
      <c r="I51" s="22">
        <f>'pollock Model 2017 data'!W45</f>
        <v>0.39</v>
      </c>
      <c r="J51" s="22">
        <f>'pollock Model 2017 data'!X45</f>
        <v>0.18</v>
      </c>
      <c r="K51" s="22">
        <f>'pollock Model 2017 data'!Y45</f>
        <v>0.4</v>
      </c>
      <c r="L51" s="12">
        <f>'All data'!N61</f>
        <v>-6.8689999999999989</v>
      </c>
      <c r="M51" s="12"/>
      <c r="N51" s="5">
        <f t="shared" si="1"/>
        <v>2006</v>
      </c>
      <c r="O51" s="14">
        <f t="shared" si="2"/>
        <v>-0.79814684529884639</v>
      </c>
      <c r="P51" s="14">
        <f t="shared" si="3"/>
        <v>-1.3053128021208142</v>
      </c>
      <c r="Q51" s="14">
        <f t="shared" si="4"/>
        <v>-1.1153613504312756</v>
      </c>
      <c r="R51" s="14">
        <f t="shared" si="5"/>
        <v>-0.4153255677995627</v>
      </c>
      <c r="S51" s="14">
        <f t="shared" si="6"/>
        <v>0.31869625762445952</v>
      </c>
      <c r="T51" s="14">
        <f t="shared" si="7"/>
        <v>0.79449721468205547</v>
      </c>
      <c r="U51" s="14">
        <f t="shared" si="0"/>
        <v>-2.0104894837820821</v>
      </c>
      <c r="V51" s="15">
        <v>-0.71703597606388192</v>
      </c>
      <c r="W51" s="15">
        <v>-0.31486238031714969</v>
      </c>
      <c r="X51" s="15">
        <v>-0.19368343662053539</v>
      </c>
      <c r="Y51" s="15">
        <v>0.54568374158633859</v>
      </c>
      <c r="Z51" s="15">
        <v>0.59046726425682639</v>
      </c>
      <c r="AA51" s="15"/>
      <c r="AB51" s="15"/>
    </row>
    <row r="52" spans="1:28" x14ac:dyDescent="0.25">
      <c r="A52">
        <v>2007</v>
      </c>
      <c r="B52" s="22">
        <f>'pollock Model 2017 data'!P46</f>
        <v>25.62</v>
      </c>
      <c r="C52" s="22">
        <f>'pollock Model 2017 data'!Q46</f>
        <v>4.84</v>
      </c>
      <c r="D52" s="22">
        <f>'pollock Model 2017 data'!R46</f>
        <v>1.22</v>
      </c>
      <c r="E52" s="22">
        <f>'pollock Model 2017 data'!S46</f>
        <v>1.2</v>
      </c>
      <c r="F52" s="22">
        <f>'pollock Model 2017 data'!T46</f>
        <v>1.76</v>
      </c>
      <c r="G52" s="22">
        <f>'pollock Model 2017 data'!U46</f>
        <v>1.64</v>
      </c>
      <c r="H52" s="22">
        <f>'pollock Model 2017 data'!V46</f>
        <v>1.1000000000000001</v>
      </c>
      <c r="I52" s="22">
        <f>'pollock Model 2017 data'!W46</f>
        <v>0.54</v>
      </c>
      <c r="J52" s="22">
        <f>'pollock Model 2017 data'!X46</f>
        <v>0.2</v>
      </c>
      <c r="K52" s="22">
        <f>'pollock Model 2017 data'!Y46</f>
        <v>0.32</v>
      </c>
      <c r="L52" s="12">
        <f>'All data'!N62</f>
        <v>-4.6870000000000003</v>
      </c>
      <c r="M52" s="12"/>
      <c r="N52" s="5">
        <f t="shared" si="1"/>
        <v>2007</v>
      </c>
      <c r="O52" s="14">
        <f t="shared" si="2"/>
        <v>0.22523592917245844</v>
      </c>
      <c r="P52" s="14">
        <f t="shared" si="3"/>
        <v>-0.77437919370516661</v>
      </c>
      <c r="Q52" s="14">
        <f t="shared" si="4"/>
        <v>-1.2515630191544391</v>
      </c>
      <c r="R52" s="14">
        <f t="shared" si="5"/>
        <v>-0.99472072260497391</v>
      </c>
      <c r="S52" s="14">
        <f t="shared" si="6"/>
        <v>-0.33253893811357726</v>
      </c>
      <c r="T52" s="14">
        <f t="shared" si="7"/>
        <v>0.269043319797791</v>
      </c>
      <c r="U52" s="14">
        <f t="shared" si="0"/>
        <v>-9.4457200115337689E-2</v>
      </c>
      <c r="V52" s="15">
        <v>-2.0104894837820821</v>
      </c>
      <c r="W52" s="15">
        <v>-0.71703597606388192</v>
      </c>
      <c r="X52" s="15">
        <v>-0.31486238031714969</v>
      </c>
      <c r="Y52" s="15">
        <v>-0.19368343662053539</v>
      </c>
      <c r="Z52" s="15">
        <v>0.54568374158633859</v>
      </c>
      <c r="AA52" s="15"/>
      <c r="AB52" s="15"/>
    </row>
    <row r="53" spans="1:28" x14ac:dyDescent="0.25">
      <c r="A53">
        <v>2008</v>
      </c>
      <c r="B53" s="22">
        <f>'pollock Model 2017 data'!P47</f>
        <v>14.01</v>
      </c>
      <c r="C53" s="22">
        <f>'pollock Model 2017 data'!Q47</f>
        <v>10.42</v>
      </c>
      <c r="D53" s="22">
        <f>'pollock Model 2017 data'!R47</f>
        <v>3.08</v>
      </c>
      <c r="E53" s="22">
        <f>'pollock Model 2017 data'!S47</f>
        <v>0.86</v>
      </c>
      <c r="F53" s="22">
        <f>'pollock Model 2017 data'!T47</f>
        <v>0.77</v>
      </c>
      <c r="G53" s="22">
        <f>'pollock Model 2017 data'!U47</f>
        <v>0.98</v>
      </c>
      <c r="H53" s="22">
        <f>'pollock Model 2017 data'!V47</f>
        <v>0.79</v>
      </c>
      <c r="I53" s="22">
        <f>'pollock Model 2017 data'!W47</f>
        <v>0.55000000000000004</v>
      </c>
      <c r="J53" s="22">
        <f>'pollock Model 2017 data'!X47</f>
        <v>0.28000000000000003</v>
      </c>
      <c r="K53" s="22">
        <f>'pollock Model 2017 data'!Y47</f>
        <v>0.28000000000000003</v>
      </c>
      <c r="L53" s="12">
        <f>'All data'!N63</f>
        <v>-7.1429999999999989</v>
      </c>
      <c r="M53" s="12"/>
      <c r="N53" s="5">
        <f t="shared" si="1"/>
        <v>2008</v>
      </c>
      <c r="O53" s="14">
        <f t="shared" si="2"/>
        <v>-0.64076071890420705</v>
      </c>
      <c r="P53" s="14">
        <f t="shared" si="3"/>
        <v>0.24021311278774898</v>
      </c>
      <c r="Q53" s="14">
        <f t="shared" si="4"/>
        <v>-0.72378155285218082</v>
      </c>
      <c r="R53" s="14">
        <f t="shared" si="5"/>
        <v>-1.1251805587863251</v>
      </c>
      <c r="S53" s="14">
        <f t="shared" si="6"/>
        <v>-0.89316749792284367</v>
      </c>
      <c r="T53" s="14">
        <f t="shared" si="7"/>
        <v>-0.33937697954188356</v>
      </c>
      <c r="U53" s="14">
        <f t="shared" si="0"/>
        <v>-2.2510911545999961</v>
      </c>
      <c r="V53" s="15">
        <v>-9.4457200115337689E-2</v>
      </c>
      <c r="W53" s="15">
        <v>-2.0104894837820821</v>
      </c>
      <c r="X53" s="15">
        <v>-0.71703597606388192</v>
      </c>
      <c r="Y53" s="15">
        <v>-0.31486238031714969</v>
      </c>
      <c r="Z53" s="15">
        <v>-0.19368343662053539</v>
      </c>
      <c r="AA53" s="15"/>
      <c r="AB53" s="15"/>
    </row>
    <row r="54" spans="1:28" x14ac:dyDescent="0.25">
      <c r="A54">
        <v>2009</v>
      </c>
      <c r="B54" s="22">
        <f>'pollock Model 2017 data'!P48</f>
        <v>53.82</v>
      </c>
      <c r="C54" s="22">
        <f>'pollock Model 2017 data'!Q48</f>
        <v>5.69</v>
      </c>
      <c r="D54" s="22">
        <f>'pollock Model 2017 data'!R48</f>
        <v>6.62</v>
      </c>
      <c r="E54" s="22">
        <f>'pollock Model 2017 data'!S48</f>
        <v>2.2200000000000002</v>
      </c>
      <c r="F54" s="22">
        <f>'pollock Model 2017 data'!T48</f>
        <v>0.56999999999999995</v>
      </c>
      <c r="G54" s="22">
        <f>'pollock Model 2017 data'!U48</f>
        <v>0.44</v>
      </c>
      <c r="H54" s="22">
        <f>'pollock Model 2017 data'!V48</f>
        <v>0.46</v>
      </c>
      <c r="I54" s="22">
        <f>'pollock Model 2017 data'!W48</f>
        <v>0.38</v>
      </c>
      <c r="J54" s="22">
        <f>'pollock Model 2017 data'!X48</f>
        <v>0.27</v>
      </c>
      <c r="K54" s="22">
        <f>'pollock Model 2017 data'!Y48</f>
        <v>0.28000000000000003</v>
      </c>
      <c r="L54" s="12">
        <f>'All data'!N64</f>
        <v>-5.5010000000000012</v>
      </c>
      <c r="M54" s="12"/>
      <c r="N54" s="5">
        <f t="shared" si="1"/>
        <v>2009</v>
      </c>
      <c r="O54" s="14">
        <f t="shared" si="2"/>
        <v>2.3286903198496303</v>
      </c>
      <c r="P54" s="14">
        <f t="shared" si="3"/>
        <v>-0.61982660221431018</v>
      </c>
      <c r="Q54" s="14">
        <f t="shared" si="4"/>
        <v>0.28070575398114955</v>
      </c>
      <c r="R54" s="14">
        <f t="shared" si="5"/>
        <v>-0.60334121406092123</v>
      </c>
      <c r="S54" s="14">
        <f t="shared" si="6"/>
        <v>-1.0064257928338067</v>
      </c>
      <c r="T54" s="14">
        <f t="shared" si="7"/>
        <v>-0.83717540627434472</v>
      </c>
      <c r="U54" s="14">
        <f t="shared" si="0"/>
        <v>-0.80923734626782751</v>
      </c>
      <c r="V54" s="15">
        <v>-2.2510911545999961</v>
      </c>
      <c r="W54" s="15">
        <v>-9.4457200115337689E-2</v>
      </c>
      <c r="X54" s="15">
        <v>-2.0104894837820821</v>
      </c>
      <c r="Y54" s="15">
        <v>-0.71703597606388192</v>
      </c>
      <c r="Z54" s="15">
        <v>-0.31486238031714969</v>
      </c>
      <c r="AA54" s="15"/>
      <c r="AB54" s="15"/>
    </row>
    <row r="55" spans="1:28" x14ac:dyDescent="0.25">
      <c r="A55">
        <v>2010</v>
      </c>
      <c r="B55" s="22">
        <f>'pollock Model 2017 data'!P49</f>
        <v>21.63</v>
      </c>
      <c r="C55" s="22">
        <f>'pollock Model 2017 data'!Q49</f>
        <v>21.88</v>
      </c>
      <c r="D55" s="22">
        <f>'pollock Model 2017 data'!R49</f>
        <v>3.62</v>
      </c>
      <c r="E55" s="22">
        <f>'pollock Model 2017 data'!S49</f>
        <v>4.76</v>
      </c>
      <c r="F55" s="22">
        <f>'pollock Model 2017 data'!T49</f>
        <v>1.47</v>
      </c>
      <c r="G55" s="22">
        <f>'pollock Model 2017 data'!U49</f>
        <v>0.34</v>
      </c>
      <c r="H55" s="22">
        <f>'pollock Model 2017 data'!V49</f>
        <v>0.23</v>
      </c>
      <c r="I55" s="22">
        <f>'pollock Model 2017 data'!W49</f>
        <v>0.24</v>
      </c>
      <c r="J55" s="22">
        <f>'pollock Model 2017 data'!X49</f>
        <v>0.2</v>
      </c>
      <c r="K55" s="22">
        <f>'pollock Model 2017 data'!Y49</f>
        <v>0.28999999999999998</v>
      </c>
      <c r="L55" s="12">
        <f>'All data'!N65</f>
        <v>-6.0019999999999998</v>
      </c>
      <c r="M55" s="12"/>
      <c r="N55" s="5">
        <f t="shared" si="1"/>
        <v>2010</v>
      </c>
      <c r="O55" s="14">
        <f t="shared" si="2"/>
        <v>-7.2380489933992612E-2</v>
      </c>
      <c r="P55" s="14">
        <f t="shared" si="3"/>
        <v>2.3239456992409409</v>
      </c>
      <c r="Q55" s="14">
        <f t="shared" si="4"/>
        <v>-0.57055467553862194</v>
      </c>
      <c r="R55" s="14">
        <f t="shared" si="5"/>
        <v>0.37127050329387645</v>
      </c>
      <c r="S55" s="14">
        <f t="shared" si="6"/>
        <v>-0.4967634657344735</v>
      </c>
      <c r="T55" s="14">
        <f t="shared" si="7"/>
        <v>-0.9293603001136892</v>
      </c>
      <c r="U55" s="14">
        <f t="shared" si="0"/>
        <v>-1.2491695983837929</v>
      </c>
      <c r="V55" s="15">
        <v>-0.80923734626782751</v>
      </c>
      <c r="W55" s="15">
        <v>-2.2510911545999961</v>
      </c>
      <c r="X55" s="15">
        <v>-9.4457200115337689E-2</v>
      </c>
      <c r="Y55" s="15">
        <v>-2.0104894837820821</v>
      </c>
      <c r="Z55" s="15">
        <v>-0.71703597606388192</v>
      </c>
      <c r="AA55" s="15"/>
      <c r="AB55" s="15"/>
    </row>
    <row r="56" spans="1:28" x14ac:dyDescent="0.25">
      <c r="A56">
        <v>2011</v>
      </c>
      <c r="B56" s="22">
        <f>'pollock Model 2017 data'!P50</f>
        <v>12.78</v>
      </c>
      <c r="C56" s="22">
        <f>'pollock Model 2017 data'!Q50</f>
        <v>8.7899999999999991</v>
      </c>
      <c r="D56" s="22">
        <f>'pollock Model 2017 data'!R50</f>
        <v>13.93</v>
      </c>
      <c r="E56" s="22">
        <f>'pollock Model 2017 data'!S50</f>
        <v>2.65</v>
      </c>
      <c r="F56" s="22">
        <f>'pollock Model 2017 data'!T50</f>
        <v>3.05</v>
      </c>
      <c r="G56" s="22">
        <f>'pollock Model 2017 data'!U50</f>
        <v>0.89</v>
      </c>
      <c r="H56" s="22">
        <f>'pollock Model 2017 data'!V50</f>
        <v>0.2</v>
      </c>
      <c r="I56" s="22">
        <f>'pollock Model 2017 data'!W50</f>
        <v>0.13</v>
      </c>
      <c r="J56" s="22">
        <f>'pollock Model 2017 data'!X50</f>
        <v>0.13</v>
      </c>
      <c r="K56" s="22">
        <f>'pollock Model 2017 data'!Y50</f>
        <v>0.27</v>
      </c>
      <c r="L56" s="12">
        <f>'All data'!N66</f>
        <v>-4.2309999999999999</v>
      </c>
      <c r="M56" s="12"/>
      <c r="N56" s="5">
        <f t="shared" si="1"/>
        <v>2011</v>
      </c>
      <c r="O56" s="14">
        <f t="shared" si="2"/>
        <v>-0.73250713381672194</v>
      </c>
      <c r="P56" s="14">
        <f t="shared" si="3"/>
        <v>-5.6164209718246205E-2</v>
      </c>
      <c r="Q56" s="14">
        <f t="shared" si="4"/>
        <v>2.3549436672443256</v>
      </c>
      <c r="R56" s="14">
        <f t="shared" si="5"/>
        <v>-0.43834789183156581</v>
      </c>
      <c r="S56" s="14">
        <f t="shared" si="6"/>
        <v>0.3979770640621334</v>
      </c>
      <c r="T56" s="14">
        <f t="shared" si="7"/>
        <v>-0.42234338399729371</v>
      </c>
      <c r="U56" s="14">
        <f t="shared" si="0"/>
        <v>0.30596017905608153</v>
      </c>
      <c r="V56" s="15">
        <v>-1.2491695983837929</v>
      </c>
      <c r="W56" s="15">
        <v>-0.80923734626782751</v>
      </c>
      <c r="X56" s="15">
        <v>-2.2510911545999961</v>
      </c>
      <c r="Y56" s="15">
        <v>-9.4457200115337689E-2</v>
      </c>
      <c r="Z56" s="15">
        <v>-2.0104894837820821</v>
      </c>
      <c r="AA56" s="15"/>
      <c r="AB56" s="15"/>
    </row>
    <row r="57" spans="1:28" x14ac:dyDescent="0.25">
      <c r="A57">
        <v>2012</v>
      </c>
      <c r="B57" s="22">
        <f>'pollock Model 2017 data'!P51</f>
        <v>11.06</v>
      </c>
      <c r="C57" s="22">
        <f>'pollock Model 2017 data'!Q51</f>
        <v>5.2</v>
      </c>
      <c r="D57" s="22">
        <f>'pollock Model 2017 data'!R51</f>
        <v>5.6</v>
      </c>
      <c r="E57" s="22">
        <f>'pollock Model 2017 data'!S51</f>
        <v>10.14</v>
      </c>
      <c r="F57" s="22">
        <f>'pollock Model 2017 data'!T51</f>
        <v>1.84</v>
      </c>
      <c r="G57" s="22">
        <f>'pollock Model 2017 data'!U51</f>
        <v>1.54</v>
      </c>
      <c r="H57" s="22">
        <f>'pollock Model 2017 data'!V51</f>
        <v>0.43</v>
      </c>
      <c r="I57" s="22">
        <f>'pollock Model 2017 data'!W51</f>
        <v>0.1</v>
      </c>
      <c r="J57" s="22">
        <f>'pollock Model 2017 data'!X51</f>
        <v>0.06</v>
      </c>
      <c r="K57" s="22">
        <f>'pollock Model 2017 data'!Y51</f>
        <v>0.2</v>
      </c>
      <c r="L57" s="12">
        <f>'All data'!N67</f>
        <v>-5.556</v>
      </c>
      <c r="M57" s="12"/>
      <c r="N57" s="5">
        <f t="shared" si="1"/>
        <v>2012</v>
      </c>
      <c r="O57" s="14">
        <f t="shared" si="2"/>
        <v>-0.8608029335317835</v>
      </c>
      <c r="P57" s="14">
        <f t="shared" si="3"/>
        <v>-0.70892162554433324</v>
      </c>
      <c r="Q57" s="14">
        <f t="shared" si="4"/>
        <v>-8.7227920555729022E-3</v>
      </c>
      <c r="R57" s="14">
        <f t="shared" si="5"/>
        <v>2.4356055581634881</v>
      </c>
      <c r="S57" s="14">
        <f t="shared" si="6"/>
        <v>-0.28723562014919207</v>
      </c>
      <c r="T57" s="14">
        <f t="shared" si="7"/>
        <v>0.17685842595844647</v>
      </c>
      <c r="U57" s="14">
        <f t="shared" si="0"/>
        <v>-0.85753330208894052</v>
      </c>
      <c r="V57" s="15">
        <v>0.30596017905608153</v>
      </c>
      <c r="W57" s="15">
        <v>-1.2491695983837929</v>
      </c>
      <c r="X57" s="15">
        <v>-0.80923734626782751</v>
      </c>
      <c r="Y57" s="15">
        <v>-2.2510911545999961</v>
      </c>
      <c r="Z57" s="15">
        <v>-9.4457200115337689E-2</v>
      </c>
      <c r="AA57" s="15"/>
      <c r="AB57" s="15"/>
    </row>
    <row r="58" spans="1:28" x14ac:dyDescent="0.25">
      <c r="A58">
        <v>2013</v>
      </c>
      <c r="B58" s="22">
        <f>'pollock Model 2017 data'!P52</f>
        <v>60.22</v>
      </c>
      <c r="C58" s="22">
        <f>'pollock Model 2017 data'!Q52</f>
        <v>4.5</v>
      </c>
      <c r="D58" s="22">
        <f>'pollock Model 2017 data'!R52</f>
        <v>3.31</v>
      </c>
      <c r="E58" s="22">
        <f>'pollock Model 2017 data'!S52</f>
        <v>4.05</v>
      </c>
      <c r="F58" s="22">
        <f>'pollock Model 2017 data'!T52</f>
        <v>6.7</v>
      </c>
      <c r="G58" s="22">
        <f>'pollock Model 2017 data'!U52</f>
        <v>1.2</v>
      </c>
      <c r="H58" s="22">
        <f>'pollock Model 2017 data'!V52</f>
        <v>0.74</v>
      </c>
      <c r="I58" s="22">
        <f>'pollock Model 2017 data'!W52</f>
        <v>0.21</v>
      </c>
      <c r="J58" s="22">
        <f>'pollock Model 2017 data'!X52</f>
        <v>0.05</v>
      </c>
      <c r="K58" s="22">
        <f>'pollock Model 2017 data'!Y52</f>
        <v>0.13</v>
      </c>
      <c r="L58" s="12">
        <f>'All data'!N68</f>
        <v>-3.8920000000000003</v>
      </c>
      <c r="M58" s="12"/>
      <c r="N58" s="5">
        <f t="shared" si="1"/>
        <v>2013</v>
      </c>
      <c r="O58" s="14">
        <f t="shared" si="2"/>
        <v>2.8060700397196263</v>
      </c>
      <c r="P58" s="14">
        <f t="shared" si="3"/>
        <v>-0.83620023030150914</v>
      </c>
      <c r="Q58" s="14">
        <f t="shared" si="4"/>
        <v>-0.65851825325566504</v>
      </c>
      <c r="R58" s="14">
        <f t="shared" si="5"/>
        <v>9.8839668915173123E-2</v>
      </c>
      <c r="S58" s="14">
        <f t="shared" si="6"/>
        <v>2.4649409461872067</v>
      </c>
      <c r="T58" s="14">
        <f t="shared" si="7"/>
        <v>-0.13657021309532538</v>
      </c>
      <c r="U58" s="14">
        <f t="shared" si="0"/>
        <v>0.60363888857167536</v>
      </c>
      <c r="V58" s="15">
        <v>-0.85753330208894052</v>
      </c>
      <c r="W58" s="15">
        <v>0.30596017905608153</v>
      </c>
      <c r="X58" s="15">
        <v>-1.2491695983837929</v>
      </c>
      <c r="Y58" s="15">
        <v>-0.80923734626782751</v>
      </c>
      <c r="Z58" s="15">
        <v>-2.2510911545999961</v>
      </c>
      <c r="AA58" s="15"/>
      <c r="AB58" s="15"/>
    </row>
    <row r="59" spans="1:28" x14ac:dyDescent="0.25">
      <c r="A59">
        <v>2014</v>
      </c>
      <c r="B59" s="22">
        <f>'pollock Model 2017 data'!P53</f>
        <v>39.880000000000003</v>
      </c>
      <c r="C59" s="22">
        <f>'pollock Model 2017 data'!Q53</f>
        <v>24.48</v>
      </c>
      <c r="D59" s="22">
        <f>'pollock Model 2017 data'!R53</f>
        <v>2.86</v>
      </c>
      <c r="E59" s="22">
        <f>'pollock Model 2017 data'!S53</f>
        <v>2.39</v>
      </c>
      <c r="F59" s="22">
        <f>'pollock Model 2017 data'!T53</f>
        <v>2.7</v>
      </c>
      <c r="G59" s="22">
        <f>'pollock Model 2017 data'!U53</f>
        <v>4.13</v>
      </c>
      <c r="H59" s="22">
        <f>'pollock Model 2017 data'!V53</f>
        <v>0.72</v>
      </c>
      <c r="I59" s="22">
        <f>'pollock Model 2017 data'!W53</f>
        <v>0.4</v>
      </c>
      <c r="J59" s="22">
        <f>'pollock Model 2017 data'!X53</f>
        <v>0.1</v>
      </c>
      <c r="K59" s="22">
        <f>'pollock Model 2017 data'!Y53</f>
        <v>0.09</v>
      </c>
      <c r="L59" s="12">
        <f>'All data'!N69</f>
        <v>-3.8390000000000004</v>
      </c>
      <c r="M59" s="12"/>
      <c r="N59" s="5">
        <v>2014</v>
      </c>
      <c r="O59" s="14">
        <f t="shared" si="2"/>
        <v>1.2888976175077942</v>
      </c>
      <c r="P59" s="14">
        <f t="shared" si="3"/>
        <v>2.7966948026247369</v>
      </c>
      <c r="Q59" s="14">
        <f t="shared" si="4"/>
        <v>-0.78620731768363084</v>
      </c>
      <c r="R59" s="14">
        <f t="shared" si="5"/>
        <v>-0.53811129597024587</v>
      </c>
      <c r="S59" s="14">
        <f t="shared" si="6"/>
        <v>0.19977504796794851</v>
      </c>
      <c r="T59" s="14">
        <f t="shared" si="7"/>
        <v>2.5644471763974725</v>
      </c>
      <c r="U59" s="14">
        <f t="shared" si="0"/>
        <v>0.65017862781747626</v>
      </c>
      <c r="V59" s="15">
        <v>0.60363888857167536</v>
      </c>
      <c r="W59" s="15">
        <v>-0.85753330208894052</v>
      </c>
      <c r="X59" s="15">
        <v>0.30596017905608153</v>
      </c>
      <c r="Y59" s="15">
        <v>-1.2491695983837929</v>
      </c>
      <c r="Z59" s="15">
        <v>-0.80923734626782751</v>
      </c>
      <c r="AA59" s="15"/>
      <c r="AB59" s="15"/>
    </row>
    <row r="60" spans="1:28" x14ac:dyDescent="0.25">
      <c r="A60">
        <v>2015</v>
      </c>
      <c r="B60" s="22">
        <f>'pollock Model 2017 data'!P54</f>
        <v>17.260000000000002</v>
      </c>
      <c r="C60" s="22">
        <f>'pollock Model 2017 data'!Q54</f>
        <v>16.21</v>
      </c>
      <c r="D60" s="22">
        <f>'pollock Model 2017 data'!R54</f>
        <v>15.59</v>
      </c>
      <c r="E60" s="22">
        <f>'pollock Model 2017 data'!S54</f>
        <v>2.08</v>
      </c>
      <c r="F60" s="22">
        <f>'pollock Model 2017 data'!T54</f>
        <v>1.62</v>
      </c>
      <c r="G60" s="22">
        <f>'pollock Model 2017 data'!U54</f>
        <v>1.65</v>
      </c>
      <c r="H60" s="22">
        <f>'pollock Model 2017 data'!V54</f>
        <v>2.39</v>
      </c>
      <c r="I60" s="22">
        <f>'pollock Model 2017 data'!W54</f>
        <v>0.38</v>
      </c>
      <c r="J60" s="22">
        <f>'pollock Model 2017 data'!X54</f>
        <v>0.21</v>
      </c>
      <c r="K60" s="22">
        <f>'pollock Model 2017 data'!Y54</f>
        <v>0.1</v>
      </c>
      <c r="L60" s="12">
        <f>'All data'!N70</f>
        <v>-5.9559999999999995</v>
      </c>
      <c r="M60" s="12"/>
      <c r="N60" s="5">
        <v>2015</v>
      </c>
      <c r="O60" s="14">
        <f t="shared" si="2"/>
        <v>-0.39834132990772436</v>
      </c>
      <c r="P60" s="14">
        <f t="shared" si="3"/>
        <v>1.2929890007078175</v>
      </c>
      <c r="Q60" s="14">
        <f t="shared" si="4"/>
        <v>2.8259744382452658</v>
      </c>
      <c r="R60" s="14">
        <f t="shared" si="5"/>
        <v>-0.65705997013559525</v>
      </c>
      <c r="S60" s="14">
        <f t="shared" si="6"/>
        <v>-0.41181974455125125</v>
      </c>
      <c r="T60" s="14">
        <f t="shared" si="7"/>
        <v>0.27826180918172544</v>
      </c>
      <c r="U60" s="14">
        <f t="shared" si="0"/>
        <v>-1.2087766171515881</v>
      </c>
      <c r="V60">
        <v>0.65017862781747626</v>
      </c>
      <c r="W60">
        <v>0.60363888857167536</v>
      </c>
      <c r="X60" s="15">
        <v>-0.85753330208894052</v>
      </c>
      <c r="Y60" s="15">
        <v>0.30596017905608153</v>
      </c>
      <c r="Z60" s="15">
        <v>-1.2491695983837929</v>
      </c>
    </row>
    <row r="61" spans="1:28" x14ac:dyDescent="0.25">
      <c r="A61">
        <v>2016</v>
      </c>
      <c r="B61" s="22">
        <f>'pollock Model 2017 data'!P55</f>
        <v>18.239999999999998</v>
      </c>
      <c r="C61" s="22">
        <f>'pollock Model 2017 data'!Q55</f>
        <v>7.02</v>
      </c>
      <c r="D61" s="22">
        <f>'pollock Model 2017 data'!R55</f>
        <v>10.32</v>
      </c>
      <c r="E61" s="22">
        <f>'pollock Model 2017 data'!S55</f>
        <v>11.02</v>
      </c>
      <c r="F61" s="22">
        <f>'pollock Model 2017 data'!T55</f>
        <v>1.37</v>
      </c>
      <c r="G61" s="22">
        <f>'pollock Model 2017 data'!U55</f>
        <v>1</v>
      </c>
      <c r="H61" s="22">
        <f>'pollock Model 2017 data'!V55</f>
        <v>0.9</v>
      </c>
      <c r="I61" s="22">
        <f>'pollock Model 2017 data'!W55</f>
        <v>1.31</v>
      </c>
      <c r="J61" s="22">
        <f>'pollock Model 2017 data'!X55</f>
        <v>0.2</v>
      </c>
      <c r="K61" s="22">
        <f>'pollock Model 2017 data'!Y55</f>
        <v>0.16</v>
      </c>
      <c r="L61" s="12">
        <f>'All data'!N71</f>
        <v>-3.1899999999999995</v>
      </c>
      <c r="M61" s="1"/>
      <c r="N61">
        <v>2016</v>
      </c>
      <c r="O61" s="14">
        <f t="shared" si="2"/>
        <v>-0.32524256030263138</v>
      </c>
      <c r="P61" s="14">
        <f t="shared" si="3"/>
        <v>-0.37799725317567634</v>
      </c>
      <c r="Q61" s="14">
        <f t="shared" si="4"/>
        <v>1.3305936170555344</v>
      </c>
      <c r="R61" s="14">
        <f t="shared" si="5"/>
        <v>2.7732663106328665</v>
      </c>
      <c r="S61" s="14">
        <f t="shared" si="6"/>
        <v>-0.55339261318995492</v>
      </c>
      <c r="T61" s="14">
        <f t="shared" si="7"/>
        <v>-0.32094000077401463</v>
      </c>
      <c r="U61" s="14">
        <f t="shared" si="0"/>
        <v>1.2200709065066235</v>
      </c>
      <c r="V61">
        <v>-1.2087766171515881</v>
      </c>
      <c r="W61">
        <v>0.65017862781747626</v>
      </c>
      <c r="X61">
        <v>0.60363888857167536</v>
      </c>
      <c r="Y61" s="15">
        <v>-0.85753330208894052</v>
      </c>
      <c r="Z61" s="15">
        <v>0.30596017905608153</v>
      </c>
    </row>
    <row r="62" spans="1:28" x14ac:dyDescent="0.25">
      <c r="A62">
        <v>2017</v>
      </c>
      <c r="B62" s="22">
        <f>'pollock Model 2017 data'!P56</f>
        <v>18.47</v>
      </c>
      <c r="C62" s="22">
        <f>'pollock Model 2017 data'!Q56</f>
        <v>7.42</v>
      </c>
      <c r="D62" s="22">
        <f>'pollock Model 2017 data'!R56</f>
        <v>4.47</v>
      </c>
      <c r="E62" s="22">
        <f>'pollock Model 2017 data'!S56</f>
        <v>7.56</v>
      </c>
      <c r="F62" s="22">
        <f>'pollock Model 2017 data'!T56</f>
        <v>6.98</v>
      </c>
      <c r="G62" s="22">
        <f>'pollock Model 2017 data'!U56</f>
        <v>0.88</v>
      </c>
      <c r="H62" s="22">
        <f>'pollock Model 2017 data'!V56</f>
        <v>0.59</v>
      </c>
      <c r="I62" s="22">
        <f>'pollock Model 2017 data'!W56</f>
        <v>0.52</v>
      </c>
      <c r="J62" s="22">
        <f>'pollock Model 2017 data'!X56</f>
        <v>0.77</v>
      </c>
      <c r="K62" s="22">
        <f>'pollock Model 2017 data'!Y56</f>
        <v>0.22</v>
      </c>
      <c r="L62" s="12">
        <f>'All data'!N72</f>
        <v>-6.6059999999999999</v>
      </c>
      <c r="N62" s="7">
        <v>2017</v>
      </c>
      <c r="O62" s="14">
        <f t="shared" ref="O62" si="8">(B62-AVERAGE($B$9:$B$62))/STDEV($B$9:$B$62)</f>
        <v>-0.30808672661980335</v>
      </c>
      <c r="P62" s="14">
        <f t="shared" ref="P62" si="9">(C62-AVERAGE($C$9:$C$62))/STDEV($C$9:$C$62)</f>
        <v>-0.30526662188586151</v>
      </c>
      <c r="Q62" s="14">
        <f t="shared" ref="Q62" si="10">(D62-AVERAGE($D$9:$D$62))/STDEV($D$9:$D$62)</f>
        <v>-0.32936422050802011</v>
      </c>
      <c r="R62" s="14">
        <f t="shared" ref="R62" si="11">(E62-AVERAGE($E$9:$E$62))/STDEV($E$9:$E$62)</f>
        <v>1.4456456247873544</v>
      </c>
      <c r="S62" s="14">
        <f t="shared" ref="S62" si="12">(F62-AVERAGE($F$9:$F$62))/STDEV($F$9:$F$62)</f>
        <v>2.6235025590625547</v>
      </c>
      <c r="T62" s="14">
        <f t="shared" ref="T62" si="13">(G62-AVERAGE($G$9:$G$62))/STDEV($G$9:$G$62)</f>
        <v>-0.4315618733812282</v>
      </c>
      <c r="U62" s="14">
        <f t="shared" si="0"/>
        <v>-1.7795470041283916</v>
      </c>
      <c r="V62">
        <v>1.2200709065066235</v>
      </c>
      <c r="W62">
        <v>-1.2087766171515881</v>
      </c>
      <c r="X62">
        <v>0.65017862781747626</v>
      </c>
      <c r="Y62">
        <v>0.60363888857167536</v>
      </c>
      <c r="Z62" s="15">
        <v>-0.85753330208894052</v>
      </c>
    </row>
    <row r="63" spans="1:28" ht="15.75" thickBot="1" x14ac:dyDescent="0.3">
      <c r="L63" s="12">
        <f>'All data'!N73</f>
        <v>-4.0620000000000003</v>
      </c>
      <c r="N63" s="7">
        <v>2018</v>
      </c>
      <c r="O63" s="14"/>
      <c r="P63" s="14"/>
      <c r="Q63" s="14"/>
      <c r="R63" s="14"/>
      <c r="S63" s="14"/>
      <c r="T63" s="14"/>
      <c r="U63" s="14">
        <f t="shared" si="0"/>
        <v>0.45436047967005</v>
      </c>
      <c r="V63">
        <v>-1.7795470041283916</v>
      </c>
      <c r="W63">
        <v>1.2200709065066235</v>
      </c>
      <c r="X63">
        <v>-1.2087766171515881</v>
      </c>
      <c r="Y63">
        <v>0.65017862781747626</v>
      </c>
      <c r="Z63">
        <v>0.60363888857167536</v>
      </c>
    </row>
    <row r="64" spans="1:28" x14ac:dyDescent="0.25">
      <c r="A64" s="10" t="s">
        <v>20</v>
      </c>
      <c r="B64" s="6">
        <v>19467</v>
      </c>
      <c r="C64" s="6">
        <v>7914</v>
      </c>
      <c r="D64" s="6">
        <v>4832</v>
      </c>
      <c r="E64" s="6">
        <v>2786</v>
      </c>
      <c r="F64" s="6">
        <v>1735</v>
      </c>
      <c r="G64" s="5">
        <v>976</v>
      </c>
      <c r="H64" s="5">
        <v>494</v>
      </c>
      <c r="I64" s="5">
        <v>232</v>
      </c>
      <c r="J64" s="5">
        <v>126</v>
      </c>
      <c r="K64" s="5">
        <v>193</v>
      </c>
      <c r="L64" s="32">
        <f>AVERAGE(L9:L62)</f>
        <v>-4.6148148148148165</v>
      </c>
      <c r="M64" s="33" t="s">
        <v>38</v>
      </c>
      <c r="V64">
        <v>0.45436047967005</v>
      </c>
      <c r="W64">
        <v>-1.7795470041283916</v>
      </c>
      <c r="X64">
        <v>1.2200709065066235</v>
      </c>
      <c r="Y64">
        <v>-1.2087766171515881</v>
      </c>
      <c r="Z64">
        <v>0.65017862781747626</v>
      </c>
    </row>
    <row r="65" spans="1:26" ht="15.75" thickBot="1" x14ac:dyDescent="0.3">
      <c r="A65" s="11" t="s">
        <v>21</v>
      </c>
      <c r="B65" s="9">
        <v>22002</v>
      </c>
      <c r="C65" s="9">
        <v>8860</v>
      </c>
      <c r="D65" s="9">
        <v>5459</v>
      </c>
      <c r="E65" s="9">
        <v>3632</v>
      </c>
      <c r="F65" s="9">
        <v>2286</v>
      </c>
      <c r="G65" s="9">
        <v>1325</v>
      </c>
      <c r="H65" s="8">
        <v>753</v>
      </c>
      <c r="I65" s="8">
        <v>415</v>
      </c>
      <c r="J65" s="8">
        <v>231</v>
      </c>
      <c r="K65" s="8">
        <v>296</v>
      </c>
      <c r="L65" s="34">
        <f>STDEV(L9:L62)</f>
        <v>1.1722780608080321</v>
      </c>
      <c r="M65" s="35" t="s">
        <v>39</v>
      </c>
      <c r="W65">
        <v>0.45436047967005</v>
      </c>
      <c r="X65">
        <v>-1.7795470041283916</v>
      </c>
      <c r="Y65">
        <v>1.2200709065066235</v>
      </c>
      <c r="Z65">
        <v>-1.2087766171515881</v>
      </c>
    </row>
    <row r="66" spans="1:26" x14ac:dyDescent="0.25">
      <c r="X66">
        <v>0.45436047967005</v>
      </c>
      <c r="Y66">
        <v>-1.7795470041283916</v>
      </c>
      <c r="Z66">
        <v>1.2200709065066235</v>
      </c>
    </row>
    <row r="67" spans="1:26" x14ac:dyDescent="0.25">
      <c r="Y67">
        <v>0.45436047967005</v>
      </c>
      <c r="Z67">
        <v>-1.7795470041283916</v>
      </c>
    </row>
    <row r="68" spans="1:26" x14ac:dyDescent="0.25">
      <c r="Z68">
        <v>0.45436047967005</v>
      </c>
    </row>
    <row r="73" spans="1:26" x14ac:dyDescent="0.25">
      <c r="A73" t="s">
        <v>59</v>
      </c>
    </row>
    <row r="75" spans="1:26" x14ac:dyDescent="0.25">
      <c r="A75" s="23"/>
      <c r="B75" s="23"/>
      <c r="C75" s="23"/>
      <c r="D75" s="23" t="s">
        <v>34</v>
      </c>
      <c r="E75" s="23"/>
      <c r="F75" s="23"/>
      <c r="G75" s="23"/>
    </row>
    <row r="76" spans="1:26" x14ac:dyDescent="0.25">
      <c r="A76" s="24"/>
      <c r="B76" s="28"/>
      <c r="C76" s="28"/>
      <c r="D76" s="28"/>
      <c r="E76" s="28"/>
      <c r="F76" s="28"/>
      <c r="G76" s="28"/>
    </row>
    <row r="77" spans="1:26" x14ac:dyDescent="0.25">
      <c r="A77" s="25"/>
      <c r="B77" s="29" t="s">
        <v>30</v>
      </c>
      <c r="C77" s="29" t="s">
        <v>26</v>
      </c>
      <c r="D77" s="29" t="s">
        <v>23</v>
      </c>
      <c r="E77" s="29" t="s">
        <v>31</v>
      </c>
      <c r="F77" s="29" t="s">
        <v>32</v>
      </c>
      <c r="G77" s="29" t="s">
        <v>33</v>
      </c>
    </row>
    <row r="78" spans="1:26" x14ac:dyDescent="0.25">
      <c r="A78" s="26" t="s">
        <v>60</v>
      </c>
      <c r="B78" s="30">
        <f>I88</f>
        <v>0.35422001571666972</v>
      </c>
      <c r="C78" s="30">
        <f>J89</f>
        <v>0.34617974102958798</v>
      </c>
      <c r="D78" s="30">
        <f>K90</f>
        <v>0.3308534663318794</v>
      </c>
      <c r="E78" s="37">
        <f>L91</f>
        <v>0.27422695960871601</v>
      </c>
      <c r="F78" s="37">
        <f>M92</f>
        <v>0.23060661211373121</v>
      </c>
      <c r="G78" s="37">
        <f>N93</f>
        <v>0.21208231338445094</v>
      </c>
    </row>
    <row r="79" spans="1:26" x14ac:dyDescent="0.25">
      <c r="A79" s="25" t="s">
        <v>61</v>
      </c>
      <c r="B79" s="38">
        <f>I150</f>
        <v>0.38311339992569488</v>
      </c>
      <c r="C79" s="27">
        <f>J151</f>
        <v>0.39740244407088932</v>
      </c>
      <c r="D79" s="39">
        <f>K152</f>
        <v>0.4378923436382543</v>
      </c>
      <c r="E79" s="38">
        <f>L153</f>
        <v>0.38721574368185818</v>
      </c>
      <c r="F79" s="38">
        <f>M154</f>
        <v>0.35643408423286838</v>
      </c>
      <c r="G79" s="38">
        <f>N155</f>
        <v>0.41139333129816458</v>
      </c>
    </row>
    <row r="84" spans="1:20" x14ac:dyDescent="0.25">
      <c r="R84" s="16"/>
      <c r="S84" s="16"/>
      <c r="T84" s="16"/>
    </row>
    <row r="85" spans="1:20" x14ac:dyDescent="0.25">
      <c r="A85" t="s">
        <v>43</v>
      </c>
      <c r="R85" s="16"/>
      <c r="S85" s="16"/>
      <c r="T85" s="16"/>
    </row>
    <row r="86" spans="1:20" x14ac:dyDescent="0.25">
      <c r="B86" t="str">
        <f>'2017 Ianelli'!$N$2</f>
        <v>Year</v>
      </c>
      <c r="C86" t="str">
        <f>'2017 Ianelli'!$O$2</f>
        <v>age-1</v>
      </c>
      <c r="D86" t="str">
        <f>'2017 Ianelli'!$P$2</f>
        <v>Age-2</v>
      </c>
      <c r="E86" t="str">
        <f>'2017 Ianelli'!$Q$4</f>
        <v>Age-3 (yr)</v>
      </c>
      <c r="F86" t="str">
        <f>'2017 Ianelli'!$R$2</f>
        <v>Age-4</v>
      </c>
      <c r="G86" t="str">
        <f>'2017 Ianelli'!$S$2</f>
        <v>Age-5</v>
      </c>
      <c r="H86" t="str">
        <f>'2017 Ianelli'!$T$2</f>
        <v>Age-6</v>
      </c>
      <c r="I86" t="str">
        <f>'2017 Ianelli'!$U$2</f>
        <v>TC index (yr-2)</v>
      </c>
      <c r="J86" t="str">
        <f>'2017 Ianelli'!$V$2</f>
        <v>TC index2</v>
      </c>
      <c r="K86" t="str">
        <f>'2017 Ianelli'!$W$2</f>
        <v>TC index3</v>
      </c>
      <c r="L86" t="str">
        <f>'2017 Ianelli'!$X$2</f>
        <v>TC index4</v>
      </c>
      <c r="M86" t="str">
        <f>'2017 Ianelli'!$Y$2</f>
        <v>TCindex5</v>
      </c>
      <c r="N86" t="str">
        <f>'2017 Ianelli'!$Z$2</f>
        <v>TCindex6</v>
      </c>
      <c r="R86" s="16"/>
      <c r="S86" s="16"/>
      <c r="T86" s="16"/>
    </row>
    <row r="87" spans="1:20" x14ac:dyDescent="0.25">
      <c r="A87" t="str">
        <f>'2017 Ianelli'!$N$2</f>
        <v>Year</v>
      </c>
      <c r="B87" s="22">
        <f>CORREL('2017 Ianelli'!$N$3:$N$61,'2017 Ianelli'!$N$3:$N$61)</f>
        <v>1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R87" s="16"/>
      <c r="S87" s="16"/>
      <c r="T87" s="16"/>
    </row>
    <row r="88" spans="1:20" x14ac:dyDescent="0.25">
      <c r="A88" t="str">
        <f>'2017 Ianelli'!$O$2</f>
        <v>age-1</v>
      </c>
      <c r="C88" s="22"/>
      <c r="D88" s="17"/>
      <c r="E88" s="17"/>
      <c r="F88" s="17"/>
      <c r="G88" s="17"/>
      <c r="H88" s="17"/>
      <c r="I88" s="36">
        <f>CORREL('2017 Ianelli'!$O$3:$O$62,'2017 Ianelli'!U3:U62)</f>
        <v>0.35422001571666972</v>
      </c>
      <c r="J88" s="36"/>
      <c r="K88" s="36"/>
      <c r="L88" s="36"/>
      <c r="M88" s="36"/>
      <c r="N88" s="36"/>
      <c r="R88" s="16"/>
      <c r="S88" s="16"/>
      <c r="T88" s="16"/>
    </row>
    <row r="89" spans="1:20" x14ac:dyDescent="0.25">
      <c r="A89" t="str">
        <f>'2017 Ianelli'!$P$2</f>
        <v>Age-2</v>
      </c>
      <c r="D89" s="22"/>
      <c r="E89" s="17"/>
      <c r="F89" s="17"/>
      <c r="G89" s="17"/>
      <c r="H89" s="17"/>
      <c r="I89" s="17"/>
      <c r="J89" s="36">
        <f>CORREL('2017 Ianelli'!$P$3:$P$62,'2017 Ianelli'!V3:V62)</f>
        <v>0.34617974102958798</v>
      </c>
      <c r="K89" s="36"/>
      <c r="L89" s="36"/>
      <c r="M89" s="36"/>
      <c r="N89" s="36"/>
    </row>
    <row r="90" spans="1:20" x14ac:dyDescent="0.25">
      <c r="A90" t="str">
        <f>'2017 Ianelli'!$Q$4</f>
        <v>Age-3 (yr)</v>
      </c>
      <c r="E90" s="22"/>
      <c r="F90" s="17"/>
      <c r="G90" s="17"/>
      <c r="H90" s="17"/>
      <c r="I90" s="17"/>
      <c r="J90" s="17"/>
      <c r="K90" s="36">
        <f>CORREL('2017 Ianelli'!$Q$3:$Q$62,'2017 Ianelli'!W3:W62)</f>
        <v>0.3308534663318794</v>
      </c>
      <c r="L90" s="36"/>
      <c r="M90" s="36"/>
      <c r="N90" s="36"/>
    </row>
    <row r="91" spans="1:20" x14ac:dyDescent="0.25">
      <c r="A91" t="str">
        <f>'2017 Ianelli'!$R$2</f>
        <v>Age-4</v>
      </c>
      <c r="F91" s="22"/>
      <c r="G91" s="17"/>
      <c r="H91" s="17"/>
      <c r="I91" s="17"/>
      <c r="J91" s="17"/>
      <c r="K91" s="17"/>
      <c r="L91" s="36">
        <f>CORREL('2017 Ianelli'!$R$3:$R$61,'2017 Ianelli'!$X$3:$X$61)</f>
        <v>0.27422695960871601</v>
      </c>
      <c r="M91" s="17"/>
      <c r="N91" s="17"/>
    </row>
    <row r="92" spans="1:20" x14ac:dyDescent="0.25">
      <c r="A92" t="str">
        <f>'2017 Ianelli'!$S$2</f>
        <v>Age-5</v>
      </c>
      <c r="G92" s="22"/>
      <c r="H92" s="17"/>
      <c r="I92" s="17"/>
      <c r="J92" s="17"/>
      <c r="K92" s="17"/>
      <c r="L92" s="17"/>
      <c r="M92" s="36">
        <f>CORREL('2017 Ianelli'!$S$3:$S$61,'2017 Ianelli'!$Y$3:$Y$61)</f>
        <v>0.23060661211373121</v>
      </c>
      <c r="N92" s="17"/>
    </row>
    <row r="93" spans="1:20" x14ac:dyDescent="0.25">
      <c r="A93" t="str">
        <f>'2017 Ianelli'!$T$2</f>
        <v>Age-6</v>
      </c>
      <c r="H93" s="22"/>
      <c r="I93" s="17"/>
      <c r="J93" s="17"/>
      <c r="K93" s="17"/>
      <c r="L93" s="17"/>
      <c r="M93" s="17"/>
      <c r="N93" s="36">
        <f>CORREL('2017 Ianelli'!$T$3:$T$61,'2017 Ianelli'!$Z$3:$Z$61)</f>
        <v>0.21208231338445094</v>
      </c>
    </row>
    <row r="94" spans="1:20" x14ac:dyDescent="0.25">
      <c r="A94" t="str">
        <f>'2017 Ianelli'!$U$2</f>
        <v>TC index (yr-2)</v>
      </c>
      <c r="I94" s="22"/>
      <c r="J94" s="17"/>
      <c r="K94" s="17"/>
      <c r="L94" s="17"/>
      <c r="M94" s="17"/>
      <c r="N94" s="17"/>
    </row>
    <row r="95" spans="1:20" x14ac:dyDescent="0.25">
      <c r="A95" t="str">
        <f>'2017 Ianelli'!$V$2</f>
        <v>TC index2</v>
      </c>
      <c r="J95" s="22"/>
      <c r="K95" s="17"/>
      <c r="L95" s="17"/>
      <c r="M95" s="17"/>
      <c r="N95" s="17"/>
    </row>
    <row r="96" spans="1:20" x14ac:dyDescent="0.25">
      <c r="A96" t="str">
        <f>'2017 Ianelli'!$W$2</f>
        <v>TC index3</v>
      </c>
      <c r="K96" s="22"/>
      <c r="L96" s="17"/>
      <c r="M96" s="17"/>
      <c r="N96" s="17"/>
    </row>
    <row r="97" spans="1:14" x14ac:dyDescent="0.25">
      <c r="A97" t="str">
        <f>'2017 Ianelli'!$X$2</f>
        <v>TC index4</v>
      </c>
      <c r="L97" s="22"/>
      <c r="M97" s="17"/>
      <c r="N97" s="17"/>
    </row>
    <row r="98" spans="1:14" x14ac:dyDescent="0.25">
      <c r="A98" t="str">
        <f>'2017 Ianelli'!$Y$2</f>
        <v>TCindex5</v>
      </c>
      <c r="M98" s="22"/>
      <c r="N98" s="17"/>
    </row>
    <row r="99" spans="1:14" x14ac:dyDescent="0.25">
      <c r="A99" t="str">
        <f>'2017 Ianelli'!$Z$2</f>
        <v>TCindex6</v>
      </c>
      <c r="N99" s="22"/>
    </row>
    <row r="101" spans="1:14" x14ac:dyDescent="0.25">
      <c r="A101" t="str">
        <f>"Correlation statistic two-tailed p-values (approx.). Bold values indicate statistical significance at the " &amp; FIXED(100 * $B$102, 0) &amp; "% confidence level."</f>
        <v>Correlation statistic two-tailed p-values (approx.). Bold values indicate statistical significance at the 95% confidence level.</v>
      </c>
    </row>
    <row r="102" spans="1:14" x14ac:dyDescent="0.25">
      <c r="A102" t="s">
        <v>29</v>
      </c>
      <c r="B102" s="21">
        <v>0.95</v>
      </c>
      <c r="E102" s="17"/>
    </row>
    <row r="103" spans="1:14" x14ac:dyDescent="0.25">
      <c r="B103" t="str">
        <f>$B$86</f>
        <v>Year</v>
      </c>
      <c r="C103" t="str">
        <f>$C$86</f>
        <v>age-1</v>
      </c>
      <c r="D103" t="str">
        <f>$D$86</f>
        <v>Age-2</v>
      </c>
      <c r="E103" t="str">
        <f>$E$86</f>
        <v>Age-3 (yr)</v>
      </c>
      <c r="F103" t="str">
        <f>$F$86</f>
        <v>Age-4</v>
      </c>
      <c r="G103" t="str">
        <f>$G$86</f>
        <v>Age-5</v>
      </c>
      <c r="H103" t="str">
        <f>$H$86</f>
        <v>Age-6</v>
      </c>
      <c r="I103" t="str">
        <f>$I$86</f>
        <v>TC index (yr-2)</v>
      </c>
      <c r="J103" t="str">
        <f>$J$86</f>
        <v>TC index2</v>
      </c>
      <c r="K103" t="str">
        <f>$K$86</f>
        <v>TC index3</v>
      </c>
      <c r="L103" t="str">
        <f>$L$86</f>
        <v>TC index4</v>
      </c>
      <c r="M103" t="str">
        <f>$M$86</f>
        <v>TCindex5</v>
      </c>
      <c r="N103" t="str">
        <f>$N$86</f>
        <v>TCindex6</v>
      </c>
    </row>
    <row r="104" spans="1:14" x14ac:dyDescent="0.25">
      <c r="A104" t="str">
        <f>$A$87</f>
        <v>Year</v>
      </c>
      <c r="C104">
        <f t="array" ref="C104">TDIST(ABS($C$87*((SUMPRODUCT(1*ISNUMBER('2017 Ianelli'!$N$3:$N$61)*ISNUMBER('2017 Ianelli'!$O$3:$O$61))-2)/(1-$C$87^2))^0.5),SUMPRODUCT(1*ISNUMBER('2017 Ianelli'!$N$3:$N$61)*ISNUMBER('2017 Ianelli'!$O$3:$O$61))-2,2)</f>
        <v>1</v>
      </c>
      <c r="D104">
        <f t="array" ref="D104">TDIST(ABS($D$87*((SUMPRODUCT(1*ISNUMBER('2017 Ianelli'!$N$3:$N$61)*ISNUMBER('2017 Ianelli'!$P$3:$P$61))-2)/(1-$D$87^2))^0.5),SUMPRODUCT(1*ISNUMBER('2017 Ianelli'!$N$3:$N$61)*ISNUMBER('2017 Ianelli'!$P$3:$P$61))-2,2)</f>
        <v>1</v>
      </c>
      <c r="E104">
        <f t="array" ref="E104">TDIST(ABS($E$87*((SUMPRODUCT(1*ISNUMBER('2017 Ianelli'!$N$3:$N$61)*ISNUMBER('2017 Ianelli'!$Q$3:$Q$61))-2)/(1-$E$87^2))^0.5),SUMPRODUCT(1*ISNUMBER('2017 Ianelli'!$N$3:$N$61)*ISNUMBER('2017 Ianelli'!$Q$3:$Q$61))-2,2)</f>
        <v>1</v>
      </c>
      <c r="F104">
        <f t="array" ref="F104">TDIST(ABS($F$87*((SUMPRODUCT(1*ISNUMBER('2017 Ianelli'!$N$3:$N$61)*ISNUMBER('2017 Ianelli'!$R$3:$R$61))-2)/(1-$F$87^2))^0.5),SUMPRODUCT(1*ISNUMBER('2017 Ianelli'!$N$3:$N$61)*ISNUMBER('2017 Ianelli'!$R$3:$R$61))-2,2)</f>
        <v>1</v>
      </c>
      <c r="G104">
        <f t="array" ref="G104">TDIST(ABS($G$87*((SUMPRODUCT(1*ISNUMBER('2017 Ianelli'!$N$3:$N$61)*ISNUMBER('2017 Ianelli'!$S$3:$S$61))-2)/(1-$G$87^2))^0.5),SUMPRODUCT(1*ISNUMBER('2017 Ianelli'!$N$3:$N$61)*ISNUMBER('2017 Ianelli'!$S$3:$S$61))-2,2)</f>
        <v>1</v>
      </c>
      <c r="H104">
        <f t="array" ref="H104">TDIST(ABS($H$87*((SUMPRODUCT(1*ISNUMBER('2017 Ianelli'!$N$3:$N$61)*ISNUMBER('2017 Ianelli'!$T$3:$T$61))-2)/(1-$H$87^2))^0.5),SUMPRODUCT(1*ISNUMBER('2017 Ianelli'!$N$3:$N$61)*ISNUMBER('2017 Ianelli'!$T$3:$T$61))-2,2)</f>
        <v>1</v>
      </c>
      <c r="I104">
        <f t="array" ref="I104">TDIST(ABS($I$87*((SUMPRODUCT(1*ISNUMBER('2017 Ianelli'!$N$3:$N$61)*ISNUMBER('2017 Ianelli'!$U$3:$U$61))-2)/(1-$I$87^2))^0.5),SUMPRODUCT(1*ISNUMBER('2017 Ianelli'!$N$3:$N$61)*ISNUMBER('2017 Ianelli'!$U$3:$U$61))-2,2)</f>
        <v>1</v>
      </c>
      <c r="J104">
        <f t="array" ref="J104">TDIST(ABS($J$87*((SUMPRODUCT(1*ISNUMBER('2017 Ianelli'!$N$3:$N$61)*ISNUMBER('2017 Ianelli'!$V$3:$V$61))-2)/(1-$J$87^2))^0.5),SUMPRODUCT(1*ISNUMBER('2017 Ianelli'!$N$3:$N$61)*ISNUMBER('2017 Ianelli'!$V$3:$V$61))-2,2)</f>
        <v>1</v>
      </c>
      <c r="K104">
        <f t="array" ref="K104">TDIST(ABS($K$87*((SUMPRODUCT(1*ISNUMBER('2017 Ianelli'!$N$3:$N$61)*ISNUMBER('2017 Ianelli'!$W$3:$W$61))-2)/(1-$K$87^2))^0.5),SUMPRODUCT(1*ISNUMBER('2017 Ianelli'!$N$3:$N$61)*ISNUMBER('2017 Ianelli'!$W$3:$W$61))-2,2)</f>
        <v>1</v>
      </c>
      <c r="L104">
        <f t="array" ref="L104">TDIST(ABS($L$87*((SUMPRODUCT(1*ISNUMBER('2017 Ianelli'!$N$3:$N$61)*ISNUMBER('2017 Ianelli'!$X$3:$X$61))-2)/(1-$L$87^2))^0.5),SUMPRODUCT(1*ISNUMBER('2017 Ianelli'!$N$3:$N$61)*ISNUMBER('2017 Ianelli'!$X$3:$X$61))-2,2)</f>
        <v>1</v>
      </c>
      <c r="M104">
        <f t="array" ref="M104">TDIST(ABS($M$87*((SUMPRODUCT(1*ISNUMBER('2017 Ianelli'!$N$3:$N$61)*ISNUMBER('2017 Ianelli'!$Y$3:$Y$61))-2)/(1-$M$87^2))^0.5),SUMPRODUCT(1*ISNUMBER('2017 Ianelli'!$N$3:$N$61)*ISNUMBER('2017 Ianelli'!$Y$3:$Y$61))-2,2)</f>
        <v>1</v>
      </c>
      <c r="N104">
        <f t="array" ref="N104">TDIST(ABS($N$87*((SUMPRODUCT(1*ISNUMBER('2017 Ianelli'!$N$3:$N$61)*ISNUMBER('2017 Ianelli'!$Z$3:$Z$61))-2)/(1-$N$87^2))^0.5),SUMPRODUCT(1*ISNUMBER('2017 Ianelli'!$N$3:$N$61)*ISNUMBER('2017 Ianelli'!$Z$3:$Z$61))-2,2)</f>
        <v>1</v>
      </c>
    </row>
    <row r="105" spans="1:14" x14ac:dyDescent="0.25">
      <c r="A105" t="str">
        <f>$A$88</f>
        <v>age-1</v>
      </c>
      <c r="D105">
        <f t="array" ref="D105">TDIST(ABS($D$88*((SUMPRODUCT(1*ISNUMBER('2017 Ianelli'!$O$3:$O$61)*ISNUMBER('2017 Ianelli'!$P$3:$P$61))-2)/(1-$D$88^2))^0.5),SUMPRODUCT(1*ISNUMBER('2017 Ianelli'!$O$3:$O$61)*ISNUMBER('2017 Ianelli'!$P$3:$P$61))-2,2)</f>
        <v>1</v>
      </c>
      <c r="E105">
        <f t="array" ref="E105">TDIST(ABS($E$88*((SUMPRODUCT(1*ISNUMBER('2017 Ianelli'!$O$3:$O$61)*ISNUMBER('2017 Ianelli'!$Q$3:$Q$61))-2)/(1-$E$88^2))^0.5),SUMPRODUCT(1*ISNUMBER('2017 Ianelli'!$O$3:$O$61)*ISNUMBER('2017 Ianelli'!$Q$3:$Q$61))-2,2)</f>
        <v>1</v>
      </c>
      <c r="F105">
        <f t="array" ref="F105">TDIST(ABS($F$88*((SUMPRODUCT(1*ISNUMBER('2017 Ianelli'!$O$3:$O$61)*ISNUMBER('2017 Ianelli'!$R$3:$R$61))-2)/(1-$F$88^2))^0.5),SUMPRODUCT(1*ISNUMBER('2017 Ianelli'!$O$3:$O$61)*ISNUMBER('2017 Ianelli'!$R$3:$R$61))-2,2)</f>
        <v>1</v>
      </c>
      <c r="G105">
        <f t="array" ref="G105">TDIST(ABS($G$88*((SUMPRODUCT(1*ISNUMBER('2017 Ianelli'!$O$3:$O$61)*ISNUMBER('2017 Ianelli'!$S$3:$S$61))-2)/(1-$G$88^2))^0.5),SUMPRODUCT(1*ISNUMBER('2017 Ianelli'!$O$3:$O$61)*ISNUMBER('2017 Ianelli'!$S$3:$S$61))-2,2)</f>
        <v>1</v>
      </c>
      <c r="H105">
        <f t="array" ref="H105">TDIST(ABS($H$88*((SUMPRODUCT(1*ISNUMBER('2017 Ianelli'!$O$3:$O$61)*ISNUMBER('2017 Ianelli'!$T$3:$T$61))-2)/(1-$H$88^2))^0.5),SUMPRODUCT(1*ISNUMBER('2017 Ianelli'!$O$3:$O$61)*ISNUMBER('2017 Ianelli'!$T$3:$T$61))-2,2)</f>
        <v>1</v>
      </c>
      <c r="I105">
        <f t="array" ref="I105">TDIST(ABS($I$88*((SUMPRODUCT(1*ISNUMBER('2017 Ianelli'!$O$3:$O$61)*ISNUMBER('2017 Ianelli'!$U$3:$U$61))-2)/(1-$I$88^2))^0.5),SUMPRODUCT(1*ISNUMBER('2017 Ianelli'!$O$3:$O$61)*ISNUMBER('2017 Ianelli'!$U$3:$U$61))-2,2)</f>
        <v>9.2616972687737074E-3</v>
      </c>
      <c r="J105">
        <f t="array" ref="J105">TDIST(ABS($J$88*((SUMPRODUCT(1*ISNUMBER('2017 Ianelli'!$O$3:$O$61)*ISNUMBER('2017 Ianelli'!$V$3:$V$61))-2)/(1-$J$88^2))^0.5),SUMPRODUCT(1*ISNUMBER('2017 Ianelli'!$O$3:$O$61)*ISNUMBER('2017 Ianelli'!$V$3:$V$61))-2,2)</f>
        <v>1</v>
      </c>
      <c r="K105">
        <f t="array" ref="K105">TDIST(ABS($K$88*((SUMPRODUCT(1*ISNUMBER('2017 Ianelli'!$O$3:$O$61)*ISNUMBER('2017 Ianelli'!$W$3:$W$61))-2)/(1-$K$88^2))^0.5),SUMPRODUCT(1*ISNUMBER('2017 Ianelli'!$O$3:$O$61)*ISNUMBER('2017 Ianelli'!$W$3:$W$61))-2,2)</f>
        <v>1</v>
      </c>
      <c r="L105">
        <f t="array" ref="L105">TDIST(ABS($L$88*((SUMPRODUCT(1*ISNUMBER('2017 Ianelli'!$O$3:$O$61)*ISNUMBER('2017 Ianelli'!$X$3:$X$61))-2)/(1-$L$88^2))^0.5),SUMPRODUCT(1*ISNUMBER('2017 Ianelli'!$O$3:$O$61)*ISNUMBER('2017 Ianelli'!$X$3:$X$61))-2,2)</f>
        <v>1</v>
      </c>
      <c r="M105">
        <f t="array" ref="M105">TDIST(ABS($M$88*((SUMPRODUCT(1*ISNUMBER('2017 Ianelli'!$O$3:$O$61)*ISNUMBER('2017 Ianelli'!$Y$3:$Y$61))-2)/(1-$M$88^2))^0.5),SUMPRODUCT(1*ISNUMBER('2017 Ianelli'!$O$3:$O$61)*ISNUMBER('2017 Ianelli'!$Y$3:$Y$61))-2,2)</f>
        <v>1</v>
      </c>
      <c r="N105">
        <f t="array" ref="N105">TDIST(ABS($N$88*((SUMPRODUCT(1*ISNUMBER('2017 Ianelli'!$O$3:$O$61)*ISNUMBER('2017 Ianelli'!$Z$3:$Z$61))-2)/(1-$N$88^2))^0.5),SUMPRODUCT(1*ISNUMBER('2017 Ianelli'!$O$3:$O$61)*ISNUMBER('2017 Ianelli'!$Z$3:$Z$61))-2,2)</f>
        <v>1</v>
      </c>
    </row>
    <row r="106" spans="1:14" x14ac:dyDescent="0.25">
      <c r="A106" t="str">
        <f>$A$89</f>
        <v>Age-2</v>
      </c>
      <c r="E106">
        <f t="array" ref="E106">TDIST(ABS($E$89*((SUMPRODUCT(1*ISNUMBER('2017 Ianelli'!$P$3:$P$61)*ISNUMBER('2017 Ianelli'!$Q$3:$Q$61))-2)/(1-$E$89^2))^0.5),SUMPRODUCT(1*ISNUMBER('2017 Ianelli'!$P$3:$P$61)*ISNUMBER('2017 Ianelli'!$Q$3:$Q$61))-2,2)</f>
        <v>1</v>
      </c>
      <c r="F106">
        <f t="array" ref="F106">TDIST(ABS($F$89*((SUMPRODUCT(1*ISNUMBER('2017 Ianelli'!$P$3:$P$61)*ISNUMBER('2017 Ianelli'!$R$3:$R$61))-2)/(1-$F$89^2))^0.5),SUMPRODUCT(1*ISNUMBER('2017 Ianelli'!$P$3:$P$61)*ISNUMBER('2017 Ianelli'!$R$3:$R$61))-2,2)</f>
        <v>1</v>
      </c>
      <c r="G106">
        <f t="array" ref="G106">TDIST(ABS($G$89*((SUMPRODUCT(1*ISNUMBER('2017 Ianelli'!$P$3:$P$61)*ISNUMBER('2017 Ianelli'!$S$3:$S$61))-2)/(1-$G$89^2))^0.5),SUMPRODUCT(1*ISNUMBER('2017 Ianelli'!$P$3:$P$61)*ISNUMBER('2017 Ianelli'!$S$3:$S$61))-2,2)</f>
        <v>1</v>
      </c>
      <c r="H106">
        <f t="array" ref="H106">TDIST(ABS($H$89*((SUMPRODUCT(1*ISNUMBER('2017 Ianelli'!$P$3:$P$61)*ISNUMBER('2017 Ianelli'!$T$3:$T$61))-2)/(1-$H$89^2))^0.5),SUMPRODUCT(1*ISNUMBER('2017 Ianelli'!$P$3:$P$61)*ISNUMBER('2017 Ianelli'!$T$3:$T$61))-2,2)</f>
        <v>1</v>
      </c>
      <c r="I106">
        <f t="array" ref="I106">TDIST(ABS($I$89*((SUMPRODUCT(1*ISNUMBER('2017 Ianelli'!$P$3:$P$61)*ISNUMBER('2017 Ianelli'!$U$3:$U$61))-2)/(1-$I$89^2))^0.5),SUMPRODUCT(1*ISNUMBER('2017 Ianelli'!$P$3:$P$61)*ISNUMBER('2017 Ianelli'!$U$3:$U$61))-2,2)</f>
        <v>1</v>
      </c>
      <c r="J106">
        <f t="array" ref="J106">TDIST(ABS($J$89*((SUMPRODUCT(1*ISNUMBER('2017 Ianelli'!$P$3:$P$61)*ISNUMBER('2017 Ianelli'!$V$3:$V$61))-2)/(1-$J$89^2))^0.5),SUMPRODUCT(1*ISNUMBER('2017 Ianelli'!$P$3:$P$61)*ISNUMBER('2017 Ianelli'!$V$3:$V$61))-2,2)</f>
        <v>1.1111342427813713E-2</v>
      </c>
      <c r="K106">
        <f t="array" ref="K106">TDIST(ABS($K$89*((SUMPRODUCT(1*ISNUMBER('2017 Ianelli'!$P$3:$P$61)*ISNUMBER('2017 Ianelli'!$W$3:$W$61))-2)/(1-$K$89^2))^0.5),SUMPRODUCT(1*ISNUMBER('2017 Ianelli'!$P$3:$P$61)*ISNUMBER('2017 Ianelli'!$W$3:$W$61))-2,2)</f>
        <v>1</v>
      </c>
      <c r="L106">
        <f t="array" ref="L106">TDIST(ABS($L$89*((SUMPRODUCT(1*ISNUMBER('2017 Ianelli'!$P$3:$P$61)*ISNUMBER('2017 Ianelli'!$X$3:$X$61))-2)/(1-$L$89^2))^0.5),SUMPRODUCT(1*ISNUMBER('2017 Ianelli'!$P$3:$P$61)*ISNUMBER('2017 Ianelli'!$X$3:$X$61))-2,2)</f>
        <v>1</v>
      </c>
      <c r="M106">
        <f t="array" ref="M106">TDIST(ABS($M$89*((SUMPRODUCT(1*ISNUMBER('2017 Ianelli'!$P$3:$P$61)*ISNUMBER('2017 Ianelli'!$Y$3:$Y$61))-2)/(1-$M$89^2))^0.5),SUMPRODUCT(1*ISNUMBER('2017 Ianelli'!$P$3:$P$61)*ISNUMBER('2017 Ianelli'!$Y$3:$Y$61))-2,2)</f>
        <v>1</v>
      </c>
      <c r="N106">
        <f t="array" ref="N106">TDIST(ABS($N$89*((SUMPRODUCT(1*ISNUMBER('2017 Ianelli'!$P$3:$P$61)*ISNUMBER('2017 Ianelli'!$Z$3:$Z$61))-2)/(1-$N$89^2))^0.5),SUMPRODUCT(1*ISNUMBER('2017 Ianelli'!$P$3:$P$61)*ISNUMBER('2017 Ianelli'!$Z$3:$Z$61))-2,2)</f>
        <v>1</v>
      </c>
    </row>
    <row r="107" spans="1:14" x14ac:dyDescent="0.25">
      <c r="A107" t="str">
        <f>$A$90</f>
        <v>Age-3 (yr)</v>
      </c>
      <c r="F107">
        <f t="array" ref="F107">TDIST(ABS($F$90*((SUMPRODUCT(1*ISNUMBER('2017 Ianelli'!$Q$3:$Q$61)*ISNUMBER('2017 Ianelli'!$R$3:$R$61))-2)/(1-$F$90^2))^0.5),SUMPRODUCT(1*ISNUMBER('2017 Ianelli'!$Q$3:$Q$61)*ISNUMBER('2017 Ianelli'!$R$3:$R$61))-2,2)</f>
        <v>1</v>
      </c>
      <c r="G107">
        <f t="array" ref="G107">TDIST(ABS($G$90*((SUMPRODUCT(1*ISNUMBER('2017 Ianelli'!$Q$3:$Q$61)*ISNUMBER('2017 Ianelli'!$S$3:$S$61))-2)/(1-$G$90^2))^0.5),SUMPRODUCT(1*ISNUMBER('2017 Ianelli'!$Q$3:$Q$61)*ISNUMBER('2017 Ianelli'!$S$3:$S$61))-2,2)</f>
        <v>1</v>
      </c>
      <c r="H107">
        <f t="array" ref="H107">TDIST(ABS($H$90*((SUMPRODUCT(1*ISNUMBER('2017 Ianelli'!$Q$3:$Q$61)*ISNUMBER('2017 Ianelli'!$T$3:$T$61))-2)/(1-$H$90^2))^0.5),SUMPRODUCT(1*ISNUMBER('2017 Ianelli'!$Q$3:$Q$61)*ISNUMBER('2017 Ianelli'!$T$3:$T$61))-2,2)</f>
        <v>1</v>
      </c>
      <c r="I107">
        <f t="array" ref="I107">TDIST(ABS($I$90*((SUMPRODUCT(1*ISNUMBER('2017 Ianelli'!$Q$3:$Q$61)*ISNUMBER('2017 Ianelli'!$U$3:$U$61))-2)/(1-$I$90^2))^0.5),SUMPRODUCT(1*ISNUMBER('2017 Ianelli'!$Q$3:$Q$61)*ISNUMBER('2017 Ianelli'!$U$3:$U$61))-2,2)</f>
        <v>1</v>
      </c>
      <c r="J107">
        <f t="array" ref="J107">TDIST(ABS($J$90*((SUMPRODUCT(1*ISNUMBER('2017 Ianelli'!$Q$3:$Q$61)*ISNUMBER('2017 Ianelli'!$V$3:$V$61))-2)/(1-$J$90^2))^0.5),SUMPRODUCT(1*ISNUMBER('2017 Ianelli'!$Q$3:$Q$61)*ISNUMBER('2017 Ianelli'!$V$3:$V$61))-2,2)</f>
        <v>1</v>
      </c>
      <c r="K107">
        <f t="array" ref="K107">TDIST(ABS($K$90*((SUMPRODUCT(1*ISNUMBER('2017 Ianelli'!$Q$3:$Q$61)*ISNUMBER('2017 Ianelli'!$W$3:$W$61))-2)/(1-$K$90^2))^0.5),SUMPRODUCT(1*ISNUMBER('2017 Ianelli'!$Q$3:$Q$61)*ISNUMBER('2017 Ianelli'!$W$3:$W$61))-2,2)</f>
        <v>1.5529319509060295E-2</v>
      </c>
      <c r="L107">
        <f t="array" ref="L107">TDIST(ABS($L$90*((SUMPRODUCT(1*ISNUMBER('2017 Ianelli'!$Q$3:$Q$61)*ISNUMBER('2017 Ianelli'!$X$3:$X$61))-2)/(1-$L$90^2))^0.5),SUMPRODUCT(1*ISNUMBER('2017 Ianelli'!$Q$3:$Q$61)*ISNUMBER('2017 Ianelli'!$X$3:$X$61))-2,2)</f>
        <v>1</v>
      </c>
      <c r="M107">
        <f t="array" ref="M107">TDIST(ABS($M$90*((SUMPRODUCT(1*ISNUMBER('2017 Ianelli'!$Q$3:$Q$61)*ISNUMBER('2017 Ianelli'!$Y$3:$Y$61))-2)/(1-$M$90^2))^0.5),SUMPRODUCT(1*ISNUMBER('2017 Ianelli'!$Q$3:$Q$61)*ISNUMBER('2017 Ianelli'!$Y$3:$Y$61))-2,2)</f>
        <v>1</v>
      </c>
      <c r="N107">
        <f t="array" ref="N107">TDIST(ABS($N$90*((SUMPRODUCT(1*ISNUMBER('2017 Ianelli'!$Q$3:$Q$61)*ISNUMBER('2017 Ianelli'!$Z$3:$Z$61))-2)/(1-$N$90^2))^0.5),SUMPRODUCT(1*ISNUMBER('2017 Ianelli'!$Q$3:$Q$61)*ISNUMBER('2017 Ianelli'!$Z$3:$Z$61))-2,2)</f>
        <v>1</v>
      </c>
    </row>
    <row r="108" spans="1:14" x14ac:dyDescent="0.25">
      <c r="A108" t="str">
        <f>$A$91</f>
        <v>Age-4</v>
      </c>
      <c r="G108">
        <f t="array" ref="G108">TDIST(ABS($G$91*((SUMPRODUCT(1*ISNUMBER('2017 Ianelli'!$R$3:$R$61)*ISNUMBER('2017 Ianelli'!$S$3:$S$61))-2)/(1-$G$91^2))^0.5),SUMPRODUCT(1*ISNUMBER('2017 Ianelli'!$R$3:$R$61)*ISNUMBER('2017 Ianelli'!$S$3:$S$61))-2,2)</f>
        <v>1</v>
      </c>
      <c r="H108">
        <f t="array" ref="H108">TDIST(ABS($H$91*((SUMPRODUCT(1*ISNUMBER('2017 Ianelli'!$R$3:$R$61)*ISNUMBER('2017 Ianelli'!$T$3:$T$61))-2)/(1-$H$91^2))^0.5),SUMPRODUCT(1*ISNUMBER('2017 Ianelli'!$R$3:$R$61)*ISNUMBER('2017 Ianelli'!$T$3:$T$61))-2,2)</f>
        <v>1</v>
      </c>
      <c r="I108">
        <f t="array" ref="I108">TDIST(ABS($I$91*((SUMPRODUCT(1*ISNUMBER('2017 Ianelli'!$R$3:$R$61)*ISNUMBER('2017 Ianelli'!$U$3:$U$61))-2)/(1-$I$91^2))^0.5),SUMPRODUCT(1*ISNUMBER('2017 Ianelli'!$R$3:$R$61)*ISNUMBER('2017 Ianelli'!$U$3:$U$61))-2,2)</f>
        <v>1</v>
      </c>
      <c r="J108">
        <f t="array" ref="J108">TDIST(ABS($J$91*((SUMPRODUCT(1*ISNUMBER('2017 Ianelli'!$R$3:$R$61)*ISNUMBER('2017 Ianelli'!$V$3:$V$61))-2)/(1-$J$91^2))^0.5),SUMPRODUCT(1*ISNUMBER('2017 Ianelli'!$R$3:$R$61)*ISNUMBER('2017 Ianelli'!$V$3:$V$61))-2,2)</f>
        <v>1</v>
      </c>
      <c r="K108">
        <f t="array" ref="K108">TDIST(ABS($K$91*((SUMPRODUCT(1*ISNUMBER('2017 Ianelli'!$R$3:$R$61)*ISNUMBER('2017 Ianelli'!$W$3:$W$61))-2)/(1-$K$91^2))^0.5),SUMPRODUCT(1*ISNUMBER('2017 Ianelli'!$R$3:$R$61)*ISNUMBER('2017 Ianelli'!$W$3:$W$61))-2,2)</f>
        <v>1</v>
      </c>
      <c r="L108">
        <f t="array" ref="L108">TDIST(ABS($L$91*((SUMPRODUCT(1*ISNUMBER('2017 Ianelli'!$R$3:$R$61)*ISNUMBER('2017 Ianelli'!$X$3:$X$61))-2)/(1-$L$91^2))^0.5),SUMPRODUCT(1*ISNUMBER('2017 Ianelli'!$R$3:$R$61)*ISNUMBER('2017 Ianelli'!$X$3:$X$61))-2,2)</f>
        <v>4.9148471262742535E-2</v>
      </c>
      <c r="M108">
        <f t="array" ref="M108">TDIST(ABS($M$91*((SUMPRODUCT(1*ISNUMBER('2017 Ianelli'!$R$3:$R$61)*ISNUMBER('2017 Ianelli'!$Y$3:$Y$61))-2)/(1-$M$91^2))^0.5),SUMPRODUCT(1*ISNUMBER('2017 Ianelli'!$R$3:$R$61)*ISNUMBER('2017 Ianelli'!$Y$3:$Y$61))-2,2)</f>
        <v>1</v>
      </c>
      <c r="N108">
        <f t="array" ref="N108">TDIST(ABS($N$91*((SUMPRODUCT(1*ISNUMBER('2017 Ianelli'!$R$3:$R$61)*ISNUMBER('2017 Ianelli'!$Z$3:$Z$61))-2)/(1-$N$91^2))^0.5),SUMPRODUCT(1*ISNUMBER('2017 Ianelli'!$R$3:$R$61)*ISNUMBER('2017 Ianelli'!$Z$3:$Z$61))-2,2)</f>
        <v>1</v>
      </c>
    </row>
    <row r="109" spans="1:14" x14ac:dyDescent="0.25">
      <c r="A109" t="str">
        <f>$A$92</f>
        <v>Age-5</v>
      </c>
      <c r="H109">
        <f t="array" ref="H109">TDIST(ABS($H$92*((SUMPRODUCT(1*ISNUMBER('2017 Ianelli'!$S$3:$S$61)*ISNUMBER('2017 Ianelli'!$T$3:$T$61))-2)/(1-$H$92^2))^0.5),SUMPRODUCT(1*ISNUMBER('2017 Ianelli'!$S$3:$S$61)*ISNUMBER('2017 Ianelli'!$T$3:$T$61))-2,2)</f>
        <v>1</v>
      </c>
      <c r="I109">
        <f t="array" ref="I109">TDIST(ABS($I$92*((SUMPRODUCT(1*ISNUMBER('2017 Ianelli'!$S$3:$S$61)*ISNUMBER('2017 Ianelli'!$U$3:$U$61))-2)/(1-$I$92^2))^0.5),SUMPRODUCT(1*ISNUMBER('2017 Ianelli'!$S$3:$S$61)*ISNUMBER('2017 Ianelli'!$U$3:$U$61))-2,2)</f>
        <v>1</v>
      </c>
      <c r="J109">
        <f t="array" ref="J109">TDIST(ABS($J$92*((SUMPRODUCT(1*ISNUMBER('2017 Ianelli'!$S$3:$S$61)*ISNUMBER('2017 Ianelli'!$V$3:$V$61))-2)/(1-$J$92^2))^0.5),SUMPRODUCT(1*ISNUMBER('2017 Ianelli'!$S$3:$S$61)*ISNUMBER('2017 Ianelli'!$V$3:$V$61))-2,2)</f>
        <v>1</v>
      </c>
      <c r="K109">
        <f t="array" ref="K109">TDIST(ABS($K$92*((SUMPRODUCT(1*ISNUMBER('2017 Ianelli'!$S$3:$S$61)*ISNUMBER('2017 Ianelli'!$W$3:$W$61))-2)/(1-$K$92^2))^0.5),SUMPRODUCT(1*ISNUMBER('2017 Ianelli'!$S$3:$S$61)*ISNUMBER('2017 Ianelli'!$W$3:$W$61))-2,2)</f>
        <v>1</v>
      </c>
      <c r="L109">
        <f t="array" ref="L109">TDIST(ABS($L$92*((SUMPRODUCT(1*ISNUMBER('2017 Ianelli'!$S$3:$S$61)*ISNUMBER('2017 Ianelli'!$X$3:$X$61))-2)/(1-$L$92^2))^0.5),SUMPRODUCT(1*ISNUMBER('2017 Ianelli'!$S$3:$S$61)*ISNUMBER('2017 Ianelli'!$X$3:$X$61))-2,2)</f>
        <v>1</v>
      </c>
      <c r="M109">
        <f t="array" ref="M109">TDIST(ABS($M$92*((SUMPRODUCT(1*ISNUMBER('2017 Ianelli'!$S$3:$S$61)*ISNUMBER('2017 Ianelli'!$Y$3:$Y$61))-2)/(1-$M$92^2))^0.5),SUMPRODUCT(1*ISNUMBER('2017 Ianelli'!$S$3:$S$61)*ISNUMBER('2017 Ianelli'!$Y$3:$Y$61))-2,2)</f>
        <v>0.10351216027918894</v>
      </c>
      <c r="N109">
        <f t="array" ref="N109">TDIST(ABS($N$92*((SUMPRODUCT(1*ISNUMBER('2017 Ianelli'!$S$3:$S$61)*ISNUMBER('2017 Ianelli'!$Z$3:$Z$61))-2)/(1-$N$92^2))^0.5),SUMPRODUCT(1*ISNUMBER('2017 Ianelli'!$S$3:$S$61)*ISNUMBER('2017 Ianelli'!$Z$3:$Z$61))-2,2)</f>
        <v>1</v>
      </c>
    </row>
    <row r="110" spans="1:14" x14ac:dyDescent="0.25">
      <c r="A110" t="str">
        <f>$A$93</f>
        <v>Age-6</v>
      </c>
      <c r="I110">
        <f t="array" ref="I110">TDIST(ABS($I$93*((SUMPRODUCT(1*ISNUMBER('2017 Ianelli'!$T$3:$T$61)*ISNUMBER('2017 Ianelli'!$U$3:$U$61))-2)/(1-$I$93^2))^0.5),SUMPRODUCT(1*ISNUMBER('2017 Ianelli'!$T$3:$T$61)*ISNUMBER('2017 Ianelli'!$U$3:$U$61))-2,2)</f>
        <v>1</v>
      </c>
      <c r="J110">
        <f t="array" ref="J110">TDIST(ABS($J$93*((SUMPRODUCT(1*ISNUMBER('2017 Ianelli'!$T$3:$T$61)*ISNUMBER('2017 Ianelli'!$V$3:$V$61))-2)/(1-$J$93^2))^0.5),SUMPRODUCT(1*ISNUMBER('2017 Ianelli'!$T$3:$T$61)*ISNUMBER('2017 Ianelli'!$V$3:$V$61))-2,2)</f>
        <v>1</v>
      </c>
      <c r="K110">
        <f t="array" ref="K110">TDIST(ABS($K$93*((SUMPRODUCT(1*ISNUMBER('2017 Ianelli'!$T$3:$T$61)*ISNUMBER('2017 Ianelli'!$W$3:$W$61))-2)/(1-$K$93^2))^0.5),SUMPRODUCT(1*ISNUMBER('2017 Ianelli'!$T$3:$T$61)*ISNUMBER('2017 Ianelli'!$W$3:$W$61))-2,2)</f>
        <v>1</v>
      </c>
      <c r="L110">
        <f t="array" ref="L110">TDIST(ABS($L$93*((SUMPRODUCT(1*ISNUMBER('2017 Ianelli'!$T$3:$T$61)*ISNUMBER('2017 Ianelli'!$X$3:$X$61))-2)/(1-$L$93^2))^0.5),SUMPRODUCT(1*ISNUMBER('2017 Ianelli'!$T$3:$T$61)*ISNUMBER('2017 Ianelli'!$X$3:$X$61))-2,2)</f>
        <v>1</v>
      </c>
      <c r="M110">
        <f t="array" ref="M110">TDIST(ABS($M$93*((SUMPRODUCT(1*ISNUMBER('2017 Ianelli'!$T$3:$T$61)*ISNUMBER('2017 Ianelli'!$Y$3:$Y$61))-2)/(1-$M$93^2))^0.5),SUMPRODUCT(1*ISNUMBER('2017 Ianelli'!$T$3:$T$61)*ISNUMBER('2017 Ianelli'!$Y$3:$Y$61))-2,2)</f>
        <v>1</v>
      </c>
      <c r="N110">
        <f t="array" ref="N110">TDIST(ABS($N$93*((SUMPRODUCT(1*ISNUMBER('2017 Ianelli'!$T$3:$T$61)*ISNUMBER('2017 Ianelli'!$Z$3:$Z$61))-2)/(1-$N$93^2))^0.5),SUMPRODUCT(1*ISNUMBER('2017 Ianelli'!$T$3:$T$61)*ISNUMBER('2017 Ianelli'!$Z$3:$Z$61))-2,2)</f>
        <v>0.1392482166192382</v>
      </c>
    </row>
    <row r="111" spans="1:14" x14ac:dyDescent="0.25">
      <c r="A111" t="str">
        <f>$A$94</f>
        <v>TC index (yr-2)</v>
      </c>
      <c r="J111">
        <f t="array" ref="J111">TDIST(ABS($J$94*((SUMPRODUCT(1*ISNUMBER('2017 Ianelli'!$U$3:$U$61)*ISNUMBER('2017 Ianelli'!$V$3:$V$61))-2)/(1-$J$94^2))^0.5),SUMPRODUCT(1*ISNUMBER('2017 Ianelli'!$U$3:$U$61)*ISNUMBER('2017 Ianelli'!$V$3:$V$61))-2,2)</f>
        <v>1</v>
      </c>
      <c r="K111">
        <f t="array" ref="K111">TDIST(ABS($K$94*((SUMPRODUCT(1*ISNUMBER('2017 Ianelli'!$U$3:$U$61)*ISNUMBER('2017 Ianelli'!$W$3:$W$61))-2)/(1-$K$94^2))^0.5),SUMPRODUCT(1*ISNUMBER('2017 Ianelli'!$U$3:$U$61)*ISNUMBER('2017 Ianelli'!$W$3:$W$61))-2,2)</f>
        <v>1</v>
      </c>
      <c r="L111">
        <f t="array" ref="L111">TDIST(ABS($L$94*((SUMPRODUCT(1*ISNUMBER('2017 Ianelli'!$U$3:$U$61)*ISNUMBER('2017 Ianelli'!$X$3:$X$61))-2)/(1-$L$94^2))^0.5),SUMPRODUCT(1*ISNUMBER('2017 Ianelli'!$U$3:$U$61)*ISNUMBER('2017 Ianelli'!$X$3:$X$61))-2,2)</f>
        <v>1</v>
      </c>
      <c r="M111">
        <f t="array" ref="M111">TDIST(ABS($M$94*((SUMPRODUCT(1*ISNUMBER('2017 Ianelli'!$U$3:$U$61)*ISNUMBER('2017 Ianelli'!$Y$3:$Y$61))-2)/(1-$M$94^2))^0.5),SUMPRODUCT(1*ISNUMBER('2017 Ianelli'!$U$3:$U$61)*ISNUMBER('2017 Ianelli'!$Y$3:$Y$61))-2,2)</f>
        <v>1</v>
      </c>
      <c r="N111">
        <f t="array" ref="N111">TDIST(ABS($N$94*((SUMPRODUCT(1*ISNUMBER('2017 Ianelli'!$U$3:$U$61)*ISNUMBER('2017 Ianelli'!$Z$3:$Z$61))-2)/(1-$N$94^2))^0.5),SUMPRODUCT(1*ISNUMBER('2017 Ianelli'!$U$3:$U$61)*ISNUMBER('2017 Ianelli'!$Z$3:$Z$61))-2,2)</f>
        <v>1</v>
      </c>
    </row>
    <row r="112" spans="1:14" x14ac:dyDescent="0.25">
      <c r="A112" t="str">
        <f>$A$95</f>
        <v>TC index2</v>
      </c>
      <c r="K112">
        <f t="array" ref="K112">TDIST(ABS($K$95*((SUMPRODUCT(1*ISNUMBER('2017 Ianelli'!$V$3:$V$61)*ISNUMBER('2017 Ianelli'!$W$3:$W$61))-2)/(1-$K$95^2))^0.5),SUMPRODUCT(1*ISNUMBER('2017 Ianelli'!$V$3:$V$61)*ISNUMBER('2017 Ianelli'!$W$3:$W$61))-2,2)</f>
        <v>1</v>
      </c>
      <c r="L112">
        <f t="array" ref="L112">TDIST(ABS($L$95*((SUMPRODUCT(1*ISNUMBER('2017 Ianelli'!$V$3:$V$61)*ISNUMBER('2017 Ianelli'!$X$3:$X$61))-2)/(1-$L$95^2))^0.5),SUMPRODUCT(1*ISNUMBER('2017 Ianelli'!$V$3:$V$61)*ISNUMBER('2017 Ianelli'!$X$3:$X$61))-2,2)</f>
        <v>1</v>
      </c>
      <c r="M112">
        <f t="array" ref="M112">TDIST(ABS($M$95*((SUMPRODUCT(1*ISNUMBER('2017 Ianelli'!$V$3:$V$61)*ISNUMBER('2017 Ianelli'!$Y$3:$Y$61))-2)/(1-$M$95^2))^0.5),SUMPRODUCT(1*ISNUMBER('2017 Ianelli'!$V$3:$V$61)*ISNUMBER('2017 Ianelli'!$Y$3:$Y$61))-2,2)</f>
        <v>1</v>
      </c>
      <c r="N112">
        <f t="array" ref="N112">TDIST(ABS($N$95*((SUMPRODUCT(1*ISNUMBER('2017 Ianelli'!$V$3:$V$61)*ISNUMBER('2017 Ianelli'!$Z$3:$Z$61))-2)/(1-$N$95^2))^0.5),SUMPRODUCT(1*ISNUMBER('2017 Ianelli'!$V$3:$V$61)*ISNUMBER('2017 Ianelli'!$Z$3:$Z$61))-2,2)</f>
        <v>1</v>
      </c>
    </row>
    <row r="113" spans="1:14" x14ac:dyDescent="0.25">
      <c r="A113" t="str">
        <f>$A$96</f>
        <v>TC index3</v>
      </c>
      <c r="L113">
        <f t="array" ref="L113">TDIST(ABS($L$96*((SUMPRODUCT(1*ISNUMBER('2017 Ianelli'!$W$3:$W$61)*ISNUMBER('2017 Ianelli'!$X$3:$X$61))-2)/(1-$L$96^2))^0.5),SUMPRODUCT(1*ISNUMBER('2017 Ianelli'!$W$3:$W$61)*ISNUMBER('2017 Ianelli'!$X$3:$X$61))-2,2)</f>
        <v>1</v>
      </c>
      <c r="M113">
        <f t="array" ref="M113">TDIST(ABS($M$96*((SUMPRODUCT(1*ISNUMBER('2017 Ianelli'!$W$3:$W$61)*ISNUMBER('2017 Ianelli'!$Y$3:$Y$61))-2)/(1-$M$96^2))^0.5),SUMPRODUCT(1*ISNUMBER('2017 Ianelli'!$W$3:$W$61)*ISNUMBER('2017 Ianelli'!$Y$3:$Y$61))-2,2)</f>
        <v>1</v>
      </c>
      <c r="N113">
        <f t="array" ref="N113">TDIST(ABS($N$96*((SUMPRODUCT(1*ISNUMBER('2017 Ianelli'!$W$3:$W$61)*ISNUMBER('2017 Ianelli'!$Z$3:$Z$61))-2)/(1-$N$96^2))^0.5),SUMPRODUCT(1*ISNUMBER('2017 Ianelli'!$W$3:$W$61)*ISNUMBER('2017 Ianelli'!$Z$3:$Z$61))-2,2)</f>
        <v>1</v>
      </c>
    </row>
    <row r="114" spans="1:14" x14ac:dyDescent="0.25">
      <c r="A114" t="str">
        <f>$A$97</f>
        <v>TC index4</v>
      </c>
      <c r="M114">
        <f t="array" ref="M114">TDIST(ABS($M$97*((SUMPRODUCT(1*ISNUMBER('2017 Ianelli'!$X$3:$X$61)*ISNUMBER('2017 Ianelli'!$Y$3:$Y$61))-2)/(1-$M$97^2))^0.5),SUMPRODUCT(1*ISNUMBER('2017 Ianelli'!$X$3:$X$61)*ISNUMBER('2017 Ianelli'!$Y$3:$Y$61))-2,2)</f>
        <v>1</v>
      </c>
      <c r="N114">
        <f t="array" ref="N114">TDIST(ABS($N$97*((SUMPRODUCT(1*ISNUMBER('2017 Ianelli'!$X$3:$X$61)*ISNUMBER('2017 Ianelli'!$Z$3:$Z$61))-2)/(1-$N$97^2))^0.5),SUMPRODUCT(1*ISNUMBER('2017 Ianelli'!$X$3:$X$61)*ISNUMBER('2017 Ianelli'!$Z$3:$Z$61))-2,2)</f>
        <v>1</v>
      </c>
    </row>
    <row r="115" spans="1:14" x14ac:dyDescent="0.25">
      <c r="A115" t="str">
        <f>$A$98</f>
        <v>TCindex5</v>
      </c>
      <c r="N115">
        <f t="array" ref="N115">TDIST(ABS($N$98*((SUMPRODUCT(1*ISNUMBER('2017 Ianelli'!$Y$3:$Y$61)*ISNUMBER('2017 Ianelli'!$Z$3:$Z$61))-2)/(1-$N$98^2))^0.5),SUMPRODUCT(1*ISNUMBER('2017 Ianelli'!$Y$3:$Y$61)*ISNUMBER('2017 Ianelli'!$Z$3:$Z$61))-2,2)</f>
        <v>1</v>
      </c>
    </row>
    <row r="116" spans="1:14" x14ac:dyDescent="0.25">
      <c r="A116" t="str">
        <f>$A$99</f>
        <v>TCindex6</v>
      </c>
    </row>
    <row r="122" spans="1:14" x14ac:dyDescent="0.25">
      <c r="A122" s="13" t="s">
        <v>17</v>
      </c>
      <c r="B122" s="13" t="s">
        <v>22</v>
      </c>
      <c r="C122" s="4" t="s">
        <v>26</v>
      </c>
      <c r="D122" t="s">
        <v>23</v>
      </c>
      <c r="E122" s="19" t="s">
        <v>31</v>
      </c>
      <c r="F122" s="19" t="s">
        <v>32</v>
      </c>
      <c r="G122" s="19" t="s">
        <v>33</v>
      </c>
      <c r="H122" t="s">
        <v>28</v>
      </c>
      <c r="I122" t="s">
        <v>27</v>
      </c>
      <c r="J122" t="s">
        <v>24</v>
      </c>
      <c r="K122" t="s">
        <v>35</v>
      </c>
      <c r="L122" t="s">
        <v>36</v>
      </c>
      <c r="M122" t="s">
        <v>37</v>
      </c>
    </row>
    <row r="123" spans="1:14" x14ac:dyDescent="0.25">
      <c r="A123">
        <v>1996</v>
      </c>
      <c r="B123" s="22">
        <f>O41</f>
        <v>4.4478087325850249E-3</v>
      </c>
      <c r="C123" s="22">
        <f t="shared" ref="C123:M138" si="14">P41</f>
        <v>-0.87620207751090717</v>
      </c>
      <c r="D123" s="22">
        <f t="shared" si="14"/>
        <v>-0.4684034239962494</v>
      </c>
      <c r="E123" s="22">
        <f t="shared" si="14"/>
        <v>1.8792327273900793</v>
      </c>
      <c r="F123" s="22">
        <f t="shared" si="14"/>
        <v>0.35267374609774843</v>
      </c>
      <c r="G123" s="22">
        <f t="shared" si="14"/>
        <v>0.60090893761943176</v>
      </c>
      <c r="H123" s="22">
        <f>U41</f>
        <v>0.21112448398916683</v>
      </c>
      <c r="I123" s="22">
        <f t="shared" si="14"/>
        <v>0.32966910282281037</v>
      </c>
      <c r="J123" s="22">
        <f t="shared" si="14"/>
        <v>-0.97256548777195884</v>
      </c>
      <c r="K123" s="22">
        <f t="shared" si="14"/>
        <v>1.420279596092332</v>
      </c>
      <c r="L123" s="22">
        <f t="shared" si="14"/>
        <v>-0.48345917154722096</v>
      </c>
      <c r="M123" s="22">
        <f t="shared" si="14"/>
        <v>-0.75040409099483296</v>
      </c>
    </row>
    <row r="124" spans="1:14" x14ac:dyDescent="0.25">
      <c r="A124">
        <v>1997</v>
      </c>
      <c r="B124" s="22">
        <f t="shared" ref="B124:B142" si="15">O42</f>
        <v>0.62354963293898669</v>
      </c>
      <c r="C124" s="22">
        <f t="shared" si="14"/>
        <v>2.0202953136059576E-2</v>
      </c>
      <c r="D124" s="22">
        <f t="shared" si="14"/>
        <v>-0.82593280439455341</v>
      </c>
      <c r="E124" s="22">
        <f t="shared" si="14"/>
        <v>-0.34242154169821959</v>
      </c>
      <c r="F124" s="22">
        <f t="shared" si="14"/>
        <v>2.2327614416197328</v>
      </c>
      <c r="G124" s="22">
        <f t="shared" si="14"/>
        <v>0.61934591638730074</v>
      </c>
      <c r="H124" s="22">
        <f t="shared" si="14"/>
        <v>1.7451796625252824</v>
      </c>
      <c r="I124" s="22">
        <f t="shared" si="14"/>
        <v>0.21112448398916683</v>
      </c>
      <c r="J124" s="22">
        <f t="shared" si="14"/>
        <v>0.32966910282281037</v>
      </c>
      <c r="K124" s="22">
        <f t="shared" si="14"/>
        <v>-0.97256548777195884</v>
      </c>
      <c r="L124" s="22">
        <f t="shared" si="14"/>
        <v>1.420279596092332</v>
      </c>
      <c r="M124" s="22">
        <f t="shared" si="14"/>
        <v>-0.48345917154722096</v>
      </c>
    </row>
    <row r="125" spans="1:14" x14ac:dyDescent="0.25">
      <c r="A125">
        <v>1998</v>
      </c>
      <c r="B125" s="22">
        <f t="shared" si="15"/>
        <v>-0.54752249236709838</v>
      </c>
      <c r="C125" s="22">
        <f t="shared" si="14"/>
        <v>0.63477678753499389</v>
      </c>
      <c r="D125" s="22">
        <f t="shared" si="14"/>
        <v>5.9378042306008877E-2</v>
      </c>
      <c r="E125" s="22">
        <f t="shared" si="14"/>
        <v>-0.69926756419426761</v>
      </c>
      <c r="F125" s="22">
        <f t="shared" si="14"/>
        <v>-0.15698858100158483</v>
      </c>
      <c r="G125" s="22">
        <f t="shared" si="14"/>
        <v>2.6935060277725547</v>
      </c>
      <c r="H125" s="22">
        <f t="shared" si="14"/>
        <v>-1.9692183942622226</v>
      </c>
      <c r="I125" s="22">
        <f t="shared" si="14"/>
        <v>1.7451796625252824</v>
      </c>
      <c r="J125" s="22">
        <f t="shared" si="14"/>
        <v>0.21112448398916683</v>
      </c>
      <c r="K125" s="22">
        <f t="shared" si="14"/>
        <v>0.32966910282281037</v>
      </c>
      <c r="L125" s="22">
        <f t="shared" si="14"/>
        <v>-0.97256548777195884</v>
      </c>
      <c r="M125" s="22">
        <f t="shared" si="14"/>
        <v>1.420279596092332</v>
      </c>
    </row>
    <row r="126" spans="1:14" x14ac:dyDescent="0.25">
      <c r="A126">
        <v>1999</v>
      </c>
      <c r="B126" s="22">
        <f t="shared" si="15"/>
        <v>-0.46099741814066136</v>
      </c>
      <c r="C126" s="22">
        <f t="shared" si="14"/>
        <v>-0.52709504731979639</v>
      </c>
      <c r="D126" s="22">
        <f t="shared" si="14"/>
        <v>0.66944801679517851</v>
      </c>
      <c r="E126" s="22">
        <f t="shared" si="14"/>
        <v>0.16790664101118266</v>
      </c>
      <c r="F126" s="22">
        <f t="shared" si="14"/>
        <v>-0.54206678369885875</v>
      </c>
      <c r="G126" s="22">
        <f t="shared" si="14"/>
        <v>4.7799574583363855E-2</v>
      </c>
      <c r="H126" s="22">
        <f t="shared" si="14"/>
        <v>-1.9349721710436132</v>
      </c>
      <c r="I126" s="22">
        <f t="shared" si="14"/>
        <v>-1.9692183942622226</v>
      </c>
      <c r="J126" s="22">
        <f t="shared" si="14"/>
        <v>1.7451796625252824</v>
      </c>
      <c r="K126" s="22">
        <f t="shared" si="14"/>
        <v>0.21112448398916683</v>
      </c>
      <c r="L126" s="22">
        <f t="shared" si="14"/>
        <v>0.32966910282281037</v>
      </c>
      <c r="M126" s="22">
        <f t="shared" si="14"/>
        <v>-0.97256548777195884</v>
      </c>
    </row>
    <row r="127" spans="1:14" x14ac:dyDescent="0.25">
      <c r="A127">
        <v>2000</v>
      </c>
      <c r="B127" s="22">
        <f t="shared" si="15"/>
        <v>0.2170309652371929</v>
      </c>
      <c r="C127" s="22">
        <f t="shared" si="14"/>
        <v>-0.44163655555426418</v>
      </c>
      <c r="D127" s="22">
        <f t="shared" si="14"/>
        <v>-0.47691602829144708</v>
      </c>
      <c r="E127" s="22">
        <f t="shared" si="14"/>
        <v>0.7281165257899247</v>
      </c>
      <c r="F127" s="22">
        <f t="shared" si="14"/>
        <v>0.33568500186110384</v>
      </c>
      <c r="G127" s="22">
        <f t="shared" si="14"/>
        <v>-0.37625093707762147</v>
      </c>
      <c r="H127" s="22">
        <f t="shared" si="14"/>
        <v>1.146309810343467</v>
      </c>
      <c r="I127" s="22">
        <f t="shared" si="14"/>
        <v>-1.9349721710436132</v>
      </c>
      <c r="J127" s="22">
        <f t="shared" si="14"/>
        <v>-1.9692183942622226</v>
      </c>
      <c r="K127" s="22">
        <f t="shared" si="14"/>
        <v>1.7451796625252824</v>
      </c>
      <c r="L127" s="22">
        <f t="shared" si="14"/>
        <v>0.21112448398916683</v>
      </c>
      <c r="M127" s="22">
        <f t="shared" si="14"/>
        <v>0.32966910282281037</v>
      </c>
    </row>
    <row r="128" spans="1:14" x14ac:dyDescent="0.25">
      <c r="A128">
        <v>2001</v>
      </c>
      <c r="B128" s="22">
        <f t="shared" si="15"/>
        <v>0.91818242879624978</v>
      </c>
      <c r="C128" s="22">
        <f t="shared" si="14"/>
        <v>0.23112178387652202</v>
      </c>
      <c r="D128" s="22">
        <f t="shared" si="14"/>
        <v>-0.39178998533946996</v>
      </c>
      <c r="E128" s="22">
        <f t="shared" si="14"/>
        <v>-0.36160681172488879</v>
      </c>
      <c r="F128" s="22">
        <f t="shared" si="14"/>
        <v>0.85101024370598521</v>
      </c>
      <c r="G128" s="22">
        <f t="shared" si="14"/>
        <v>0.49028706501221814</v>
      </c>
      <c r="H128" s="22">
        <f t="shared" si="14"/>
        <v>0.59046726425682639</v>
      </c>
      <c r="I128" s="22">
        <f t="shared" si="14"/>
        <v>1.146309810343467</v>
      </c>
      <c r="J128" s="22">
        <f t="shared" si="14"/>
        <v>-1.9349721710436132</v>
      </c>
      <c r="K128" s="22">
        <f t="shared" si="14"/>
        <v>-1.9692183942622226</v>
      </c>
      <c r="L128" s="22">
        <f t="shared" si="14"/>
        <v>1.7451796625252824</v>
      </c>
      <c r="M128" s="22">
        <f t="shared" si="14"/>
        <v>0.21112448398916683</v>
      </c>
    </row>
    <row r="129" spans="1:13" x14ac:dyDescent="0.25">
      <c r="A129">
        <v>2002</v>
      </c>
      <c r="B129" s="22">
        <f t="shared" si="15"/>
        <v>6.3374367904037637E-2</v>
      </c>
      <c r="C129" s="22">
        <f t="shared" si="14"/>
        <v>0.92569931269425276</v>
      </c>
      <c r="D129" s="22">
        <f t="shared" si="14"/>
        <v>0.27503068445101758</v>
      </c>
      <c r="E129" s="22">
        <f t="shared" si="14"/>
        <v>-0.26951751559687648</v>
      </c>
      <c r="F129" s="22">
        <f t="shared" si="14"/>
        <v>-0.21361772845706622</v>
      </c>
      <c r="G129" s="22">
        <f t="shared" si="14"/>
        <v>0.90511908728926915</v>
      </c>
      <c r="H129" s="22">
        <f t="shared" si="14"/>
        <v>0.54568374158633859</v>
      </c>
      <c r="I129" s="22">
        <f t="shared" si="14"/>
        <v>0.59046726425682639</v>
      </c>
      <c r="J129" s="22">
        <f t="shared" si="14"/>
        <v>1.146309810343467</v>
      </c>
      <c r="K129" s="22">
        <f t="shared" si="14"/>
        <v>-1.9349721710436132</v>
      </c>
      <c r="L129" s="22">
        <f t="shared" si="14"/>
        <v>-1.9692183942622226</v>
      </c>
      <c r="M129" s="22">
        <f t="shared" si="14"/>
        <v>1.7451796625252824</v>
      </c>
    </row>
    <row r="130" spans="1:13" x14ac:dyDescent="0.25">
      <c r="A130">
        <v>2003</v>
      </c>
      <c r="B130" s="22">
        <f t="shared" si="15"/>
        <v>-0.61092448641233221</v>
      </c>
      <c r="C130" s="22">
        <f t="shared" si="14"/>
        <v>7.8387458167911095E-2</v>
      </c>
      <c r="D130" s="22">
        <f t="shared" si="14"/>
        <v>0.96171409759696658</v>
      </c>
      <c r="E130" s="22">
        <f t="shared" si="14"/>
        <v>0.38278166530987812</v>
      </c>
      <c r="F130" s="22">
        <f t="shared" si="14"/>
        <v>-0.13433692201939224</v>
      </c>
      <c r="G130" s="22">
        <f t="shared" si="14"/>
        <v>-0.12735172371139092</v>
      </c>
      <c r="H130" s="22">
        <f t="shared" si="14"/>
        <v>-0.19368343662053539</v>
      </c>
      <c r="I130" s="22">
        <f t="shared" si="14"/>
        <v>0.54568374158633859</v>
      </c>
      <c r="J130" s="22">
        <f t="shared" si="14"/>
        <v>0.59046726425682639</v>
      </c>
      <c r="K130" s="22">
        <f t="shared" si="14"/>
        <v>1.146309810343467</v>
      </c>
      <c r="L130" s="22">
        <f t="shared" si="14"/>
        <v>-1.9349721710436132</v>
      </c>
      <c r="M130" s="22">
        <f t="shared" si="14"/>
        <v>-1.9692183942622226</v>
      </c>
    </row>
    <row r="131" spans="1:13" x14ac:dyDescent="0.25">
      <c r="A131">
        <v>2004</v>
      </c>
      <c r="B131" s="22">
        <f t="shared" si="15"/>
        <v>-1.1957146432530779</v>
      </c>
      <c r="C131" s="22">
        <f t="shared" si="14"/>
        <v>-0.58891608391613892</v>
      </c>
      <c r="D131" s="22">
        <f t="shared" si="14"/>
        <v>0.12464134190252481</v>
      </c>
      <c r="E131" s="22">
        <f t="shared" si="14"/>
        <v>0.98519914414729259</v>
      </c>
      <c r="F131" s="22">
        <f t="shared" si="14"/>
        <v>0.51123535897309635</v>
      </c>
      <c r="G131" s="22">
        <f t="shared" si="14"/>
        <v>-9.0477766175653021E-2</v>
      </c>
      <c r="H131" s="22">
        <f t="shared" si="14"/>
        <v>-0.31486238031714969</v>
      </c>
      <c r="I131" s="22">
        <f t="shared" si="14"/>
        <v>-0.19368343662053539</v>
      </c>
      <c r="J131" s="22">
        <f t="shared" si="14"/>
        <v>0.54568374158633859</v>
      </c>
      <c r="K131" s="22">
        <f t="shared" si="14"/>
        <v>0.59046726425682639</v>
      </c>
      <c r="L131" s="22">
        <f t="shared" si="14"/>
        <v>1.146309810343467</v>
      </c>
      <c r="M131" s="22">
        <f t="shared" si="14"/>
        <v>-1.9349721710436132</v>
      </c>
    </row>
    <row r="132" spans="1:13" x14ac:dyDescent="0.25">
      <c r="A132">
        <v>2005</v>
      </c>
      <c r="B132" s="22">
        <f t="shared" si="15"/>
        <v>-1.3337072185279988</v>
      </c>
      <c r="C132" s="22">
        <f t="shared" si="14"/>
        <v>-1.1689428684524115</v>
      </c>
      <c r="D132" s="22">
        <f t="shared" si="14"/>
        <v>-0.53934179312289698</v>
      </c>
      <c r="E132" s="22">
        <f t="shared" si="14"/>
        <v>0.23313655910185807</v>
      </c>
      <c r="F132" s="22">
        <f t="shared" si="14"/>
        <v>0.93595396488920735</v>
      </c>
      <c r="G132" s="22">
        <f t="shared" si="14"/>
        <v>0.57325346946762834</v>
      </c>
      <c r="H132" s="22">
        <f t="shared" si="14"/>
        <v>-0.71703597606388192</v>
      </c>
      <c r="I132" s="22">
        <f t="shared" si="14"/>
        <v>-0.31486238031714969</v>
      </c>
      <c r="J132" s="22">
        <f t="shared" si="14"/>
        <v>-0.19368343662053539</v>
      </c>
      <c r="K132" s="22">
        <f t="shared" si="14"/>
        <v>0.54568374158633859</v>
      </c>
      <c r="L132" s="22">
        <f t="shared" si="14"/>
        <v>0.59046726425682639</v>
      </c>
      <c r="M132" s="22">
        <f t="shared" si="14"/>
        <v>1.146309810343467</v>
      </c>
    </row>
    <row r="133" spans="1:13" x14ac:dyDescent="0.25">
      <c r="A133">
        <v>2006</v>
      </c>
      <c r="B133" s="22">
        <f t="shared" si="15"/>
        <v>-0.79814684529884639</v>
      </c>
      <c r="C133" s="22">
        <f t="shared" si="14"/>
        <v>-1.3053128021208142</v>
      </c>
      <c r="D133" s="22">
        <f t="shared" si="14"/>
        <v>-1.1153613504312756</v>
      </c>
      <c r="E133" s="22">
        <f t="shared" si="14"/>
        <v>-0.4153255677995627</v>
      </c>
      <c r="F133" s="22">
        <f t="shared" si="14"/>
        <v>0.31869625762445952</v>
      </c>
      <c r="G133" s="22">
        <f t="shared" si="14"/>
        <v>0.79449721468205547</v>
      </c>
      <c r="H133" s="22">
        <f t="shared" si="14"/>
        <v>-2.0104894837820821</v>
      </c>
      <c r="I133" s="22">
        <f t="shared" si="14"/>
        <v>-0.71703597606388192</v>
      </c>
      <c r="J133" s="22">
        <f t="shared" si="14"/>
        <v>-0.31486238031714969</v>
      </c>
      <c r="K133" s="22">
        <f t="shared" si="14"/>
        <v>-0.19368343662053539</v>
      </c>
      <c r="L133" s="22">
        <f t="shared" si="14"/>
        <v>0.54568374158633859</v>
      </c>
      <c r="M133" s="22">
        <f t="shared" si="14"/>
        <v>0.59046726425682639</v>
      </c>
    </row>
    <row r="134" spans="1:13" x14ac:dyDescent="0.25">
      <c r="A134">
        <v>2007</v>
      </c>
      <c r="B134" s="22">
        <f t="shared" si="15"/>
        <v>0.22523592917245844</v>
      </c>
      <c r="C134" s="22">
        <f t="shared" si="14"/>
        <v>-0.77437919370516661</v>
      </c>
      <c r="D134" s="22">
        <f t="shared" si="14"/>
        <v>-1.2515630191544391</v>
      </c>
      <c r="E134" s="22">
        <f t="shared" si="14"/>
        <v>-0.99472072260497391</v>
      </c>
      <c r="F134" s="22">
        <f t="shared" si="14"/>
        <v>-0.33253893811357726</v>
      </c>
      <c r="G134" s="22">
        <f t="shared" si="14"/>
        <v>0.269043319797791</v>
      </c>
      <c r="H134" s="22">
        <f t="shared" si="14"/>
        <v>-9.4457200115337689E-2</v>
      </c>
      <c r="I134" s="22">
        <f t="shared" si="14"/>
        <v>-2.0104894837820821</v>
      </c>
      <c r="J134" s="22">
        <f t="shared" si="14"/>
        <v>-0.71703597606388192</v>
      </c>
      <c r="K134" s="22">
        <f t="shared" si="14"/>
        <v>-0.31486238031714969</v>
      </c>
      <c r="L134" s="22">
        <f t="shared" si="14"/>
        <v>-0.19368343662053539</v>
      </c>
      <c r="M134" s="22">
        <f t="shared" si="14"/>
        <v>0.54568374158633859</v>
      </c>
    </row>
    <row r="135" spans="1:13" x14ac:dyDescent="0.25">
      <c r="A135">
        <v>2008</v>
      </c>
      <c r="B135" s="22">
        <f t="shared" si="15"/>
        <v>-0.64076071890420705</v>
      </c>
      <c r="C135" s="22">
        <f t="shared" si="14"/>
        <v>0.24021311278774898</v>
      </c>
      <c r="D135" s="22">
        <f t="shared" si="14"/>
        <v>-0.72378155285218082</v>
      </c>
      <c r="E135" s="22">
        <f t="shared" si="14"/>
        <v>-1.1251805587863251</v>
      </c>
      <c r="F135" s="22">
        <f t="shared" si="14"/>
        <v>-0.89316749792284367</v>
      </c>
      <c r="G135" s="22">
        <f t="shared" si="14"/>
        <v>-0.33937697954188356</v>
      </c>
      <c r="H135" s="22">
        <f t="shared" si="14"/>
        <v>-2.2510911545999961</v>
      </c>
      <c r="I135" s="22">
        <f t="shared" si="14"/>
        <v>-9.4457200115337689E-2</v>
      </c>
      <c r="J135" s="22">
        <f t="shared" si="14"/>
        <v>-2.0104894837820821</v>
      </c>
      <c r="K135" s="22">
        <f t="shared" si="14"/>
        <v>-0.71703597606388192</v>
      </c>
      <c r="L135" s="22">
        <f t="shared" si="14"/>
        <v>-0.31486238031714969</v>
      </c>
      <c r="M135" s="22">
        <f t="shared" si="14"/>
        <v>-0.19368343662053539</v>
      </c>
    </row>
    <row r="136" spans="1:13" x14ac:dyDescent="0.25">
      <c r="A136">
        <v>2009</v>
      </c>
      <c r="B136" s="22">
        <f t="shared" si="15"/>
        <v>2.3286903198496303</v>
      </c>
      <c r="C136" s="22">
        <f t="shared" si="14"/>
        <v>-0.61982660221431018</v>
      </c>
      <c r="D136" s="22">
        <f t="shared" si="14"/>
        <v>0.28070575398114955</v>
      </c>
      <c r="E136" s="22">
        <f t="shared" si="14"/>
        <v>-0.60334121406092123</v>
      </c>
      <c r="F136" s="22">
        <f t="shared" si="14"/>
        <v>-1.0064257928338067</v>
      </c>
      <c r="G136" s="22">
        <f t="shared" si="14"/>
        <v>-0.83717540627434472</v>
      </c>
      <c r="H136" s="22">
        <f t="shared" si="14"/>
        <v>-0.80923734626782751</v>
      </c>
      <c r="I136" s="22">
        <f t="shared" si="14"/>
        <v>-2.2510911545999961</v>
      </c>
      <c r="J136" s="22">
        <f t="shared" si="14"/>
        <v>-9.4457200115337689E-2</v>
      </c>
      <c r="K136" s="22">
        <f t="shared" si="14"/>
        <v>-2.0104894837820821</v>
      </c>
      <c r="L136" s="22">
        <f t="shared" si="14"/>
        <v>-0.71703597606388192</v>
      </c>
      <c r="M136" s="22">
        <f t="shared" si="14"/>
        <v>-0.31486238031714969</v>
      </c>
    </row>
    <row r="137" spans="1:13" x14ac:dyDescent="0.25">
      <c r="A137">
        <v>2010</v>
      </c>
      <c r="B137" s="22">
        <f t="shared" si="15"/>
        <v>-7.2380489933992612E-2</v>
      </c>
      <c r="C137" s="22">
        <f t="shared" si="14"/>
        <v>2.3239456992409409</v>
      </c>
      <c r="D137" s="22">
        <f t="shared" si="14"/>
        <v>-0.57055467553862194</v>
      </c>
      <c r="E137" s="22">
        <f t="shared" si="14"/>
        <v>0.37127050329387645</v>
      </c>
      <c r="F137" s="22">
        <f t="shared" si="14"/>
        <v>-0.4967634657344735</v>
      </c>
      <c r="G137" s="22">
        <f t="shared" si="14"/>
        <v>-0.9293603001136892</v>
      </c>
      <c r="H137" s="22">
        <f t="shared" si="14"/>
        <v>-1.2491695983837929</v>
      </c>
      <c r="I137" s="22">
        <f t="shared" si="14"/>
        <v>-0.80923734626782751</v>
      </c>
      <c r="J137" s="22">
        <f t="shared" si="14"/>
        <v>-2.2510911545999961</v>
      </c>
      <c r="K137" s="22">
        <f t="shared" si="14"/>
        <v>-9.4457200115337689E-2</v>
      </c>
      <c r="L137" s="22">
        <f t="shared" si="14"/>
        <v>-2.0104894837820821</v>
      </c>
      <c r="M137" s="22">
        <f t="shared" si="14"/>
        <v>-0.71703597606388192</v>
      </c>
    </row>
    <row r="138" spans="1:13" x14ac:dyDescent="0.25">
      <c r="A138">
        <v>2011</v>
      </c>
      <c r="B138" s="22">
        <f t="shared" si="15"/>
        <v>-0.73250713381672194</v>
      </c>
      <c r="C138" s="22">
        <f t="shared" si="14"/>
        <v>-5.6164209718246205E-2</v>
      </c>
      <c r="D138" s="22">
        <f t="shared" si="14"/>
        <v>2.3549436672443256</v>
      </c>
      <c r="E138" s="22">
        <f t="shared" si="14"/>
        <v>-0.43834789183156581</v>
      </c>
      <c r="F138" s="22">
        <f t="shared" si="14"/>
        <v>0.3979770640621334</v>
      </c>
      <c r="G138" s="22">
        <f t="shared" si="14"/>
        <v>-0.42234338399729371</v>
      </c>
      <c r="H138" s="22">
        <f t="shared" si="14"/>
        <v>0.30596017905608153</v>
      </c>
      <c r="I138" s="22">
        <f t="shared" si="14"/>
        <v>-1.2491695983837929</v>
      </c>
      <c r="J138" s="22">
        <f t="shared" si="14"/>
        <v>-0.80923734626782751</v>
      </c>
      <c r="K138" s="22">
        <f t="shared" si="14"/>
        <v>-2.2510911545999961</v>
      </c>
      <c r="L138" s="22">
        <f t="shared" si="14"/>
        <v>-9.4457200115337689E-2</v>
      </c>
      <c r="M138" s="22">
        <f t="shared" si="14"/>
        <v>-2.0104894837820821</v>
      </c>
    </row>
    <row r="139" spans="1:13" x14ac:dyDescent="0.25">
      <c r="A139">
        <v>2012</v>
      </c>
      <c r="B139" s="22">
        <f t="shared" si="15"/>
        <v>-0.8608029335317835</v>
      </c>
      <c r="C139" s="22">
        <f t="shared" ref="C139:C144" si="16">P57</f>
        <v>-0.70892162554433324</v>
      </c>
      <c r="D139" s="22">
        <f t="shared" ref="D139:D144" si="17">Q57</f>
        <v>-8.7227920555729022E-3</v>
      </c>
      <c r="E139" s="22">
        <f t="shared" ref="E139:E144" si="18">R57</f>
        <v>2.4356055581634881</v>
      </c>
      <c r="F139" s="22">
        <f t="shared" ref="F139:F144" si="19">S57</f>
        <v>-0.28723562014919207</v>
      </c>
      <c r="G139" s="22">
        <f t="shared" ref="G139:G144" si="20">T57</f>
        <v>0.17685842595844647</v>
      </c>
      <c r="H139" s="22">
        <f t="shared" ref="H139:H144" si="21">U57</f>
        <v>-0.85753330208894052</v>
      </c>
      <c r="I139" s="22">
        <f t="shared" ref="I139:I144" si="22">V57</f>
        <v>0.30596017905608153</v>
      </c>
      <c r="J139" s="22">
        <f t="shared" ref="J139:J144" si="23">W57</f>
        <v>-1.2491695983837929</v>
      </c>
      <c r="K139" s="22">
        <f t="shared" ref="K139:K144" si="24">X57</f>
        <v>-0.80923734626782751</v>
      </c>
      <c r="L139" s="22">
        <f t="shared" ref="L139:L144" si="25">Y57</f>
        <v>-2.2510911545999961</v>
      </c>
      <c r="M139" s="22">
        <f t="shared" ref="M139:M144" si="26">Z57</f>
        <v>-9.4457200115337689E-2</v>
      </c>
    </row>
    <row r="140" spans="1:13" x14ac:dyDescent="0.25">
      <c r="A140">
        <v>2013</v>
      </c>
      <c r="B140" s="22">
        <f t="shared" si="15"/>
        <v>2.8060700397196263</v>
      </c>
      <c r="C140" s="22">
        <f t="shared" si="16"/>
        <v>-0.83620023030150914</v>
      </c>
      <c r="D140" s="22">
        <f t="shared" si="17"/>
        <v>-0.65851825325566504</v>
      </c>
      <c r="E140" s="22">
        <f t="shared" si="18"/>
        <v>9.8839668915173123E-2</v>
      </c>
      <c r="F140" s="22">
        <f t="shared" si="19"/>
        <v>2.4649409461872067</v>
      </c>
      <c r="G140" s="22">
        <f t="shared" si="20"/>
        <v>-0.13657021309532538</v>
      </c>
      <c r="H140" s="22">
        <f t="shared" si="21"/>
        <v>0.60363888857167536</v>
      </c>
      <c r="I140" s="22">
        <f t="shared" si="22"/>
        <v>-0.85753330208894052</v>
      </c>
      <c r="J140" s="22">
        <f t="shared" si="23"/>
        <v>0.30596017905608153</v>
      </c>
      <c r="K140" s="22">
        <f t="shared" si="24"/>
        <v>-1.2491695983837929</v>
      </c>
      <c r="L140" s="22">
        <f t="shared" si="25"/>
        <v>-0.80923734626782751</v>
      </c>
      <c r="M140" s="22">
        <f t="shared" si="26"/>
        <v>-2.2510911545999961</v>
      </c>
    </row>
    <row r="141" spans="1:13" x14ac:dyDescent="0.25">
      <c r="A141">
        <v>2014</v>
      </c>
      <c r="B141" s="22">
        <f t="shared" si="15"/>
        <v>1.2888976175077942</v>
      </c>
      <c r="C141" s="22">
        <f t="shared" si="16"/>
        <v>2.7966948026247369</v>
      </c>
      <c r="D141" s="22">
        <f t="shared" si="17"/>
        <v>-0.78620731768363084</v>
      </c>
      <c r="E141" s="22">
        <f t="shared" si="18"/>
        <v>-0.53811129597024587</v>
      </c>
      <c r="F141" s="22">
        <f t="shared" si="19"/>
        <v>0.19977504796794851</v>
      </c>
      <c r="G141" s="22">
        <f t="shared" si="20"/>
        <v>2.5644471763974725</v>
      </c>
      <c r="H141" s="22">
        <f t="shared" si="21"/>
        <v>0.65017862781747626</v>
      </c>
      <c r="I141" s="22">
        <f t="shared" si="22"/>
        <v>0.60363888857167536</v>
      </c>
      <c r="J141" s="22">
        <f t="shared" si="23"/>
        <v>-0.85753330208894052</v>
      </c>
      <c r="K141" s="22">
        <f t="shared" si="24"/>
        <v>0.30596017905608153</v>
      </c>
      <c r="L141" s="22">
        <f t="shared" si="25"/>
        <v>-1.2491695983837929</v>
      </c>
      <c r="M141" s="22">
        <f t="shared" si="26"/>
        <v>-0.80923734626782751</v>
      </c>
    </row>
    <row r="142" spans="1:13" x14ac:dyDescent="0.25">
      <c r="A142">
        <v>2015</v>
      </c>
      <c r="B142" s="22">
        <f t="shared" si="15"/>
        <v>-0.39834132990772436</v>
      </c>
      <c r="C142" s="22">
        <f t="shared" si="16"/>
        <v>1.2929890007078175</v>
      </c>
      <c r="D142" s="22">
        <f t="shared" si="17"/>
        <v>2.8259744382452658</v>
      </c>
      <c r="E142" s="22">
        <f t="shared" si="18"/>
        <v>-0.65705997013559525</v>
      </c>
      <c r="F142" s="22">
        <f t="shared" si="19"/>
        <v>-0.41181974455125125</v>
      </c>
      <c r="G142" s="22">
        <f t="shared" si="20"/>
        <v>0.27826180918172544</v>
      </c>
      <c r="H142" s="22">
        <f t="shared" si="21"/>
        <v>-1.2087766171515881</v>
      </c>
      <c r="I142" s="22">
        <f t="shared" si="22"/>
        <v>0.65017862781747626</v>
      </c>
      <c r="J142" s="22">
        <f t="shared" si="23"/>
        <v>0.60363888857167536</v>
      </c>
      <c r="K142" s="22">
        <f t="shared" si="24"/>
        <v>-0.85753330208894052</v>
      </c>
      <c r="L142" s="22">
        <f t="shared" si="25"/>
        <v>0.30596017905608153</v>
      </c>
      <c r="M142" s="22">
        <f t="shared" si="26"/>
        <v>-1.2491695983837929</v>
      </c>
    </row>
    <row r="143" spans="1:13" x14ac:dyDescent="0.25">
      <c r="A143">
        <v>2016</v>
      </c>
      <c r="B143" s="22">
        <f t="shared" ref="B143:B144" si="27">O61</f>
        <v>-0.32524256030263138</v>
      </c>
      <c r="C143" s="22">
        <f t="shared" si="16"/>
        <v>-0.37799725317567634</v>
      </c>
      <c r="D143" s="22">
        <f t="shared" si="17"/>
        <v>1.3305936170555344</v>
      </c>
      <c r="E143" s="22">
        <f t="shared" si="18"/>
        <v>2.7732663106328665</v>
      </c>
      <c r="F143" s="22">
        <f t="shared" si="19"/>
        <v>-0.55339261318995492</v>
      </c>
      <c r="G143" s="22">
        <f t="shared" si="20"/>
        <v>-0.32094000077401463</v>
      </c>
      <c r="H143" s="22">
        <f t="shared" si="21"/>
        <v>1.2200709065066235</v>
      </c>
      <c r="I143" s="22">
        <f t="shared" si="22"/>
        <v>-1.2087766171515881</v>
      </c>
      <c r="J143" s="22">
        <f t="shared" si="23"/>
        <v>0.65017862781747626</v>
      </c>
      <c r="K143" s="22">
        <f t="shared" si="24"/>
        <v>0.60363888857167536</v>
      </c>
      <c r="L143" s="22">
        <f t="shared" si="25"/>
        <v>-0.85753330208894052</v>
      </c>
      <c r="M143" s="22">
        <f t="shared" si="26"/>
        <v>0.30596017905608153</v>
      </c>
    </row>
    <row r="144" spans="1:13" x14ac:dyDescent="0.25">
      <c r="A144">
        <v>2017</v>
      </c>
      <c r="B144" s="22">
        <f t="shared" si="27"/>
        <v>-0.30808672661980335</v>
      </c>
      <c r="C144" s="22">
        <f t="shared" si="16"/>
        <v>-0.30526662188586151</v>
      </c>
      <c r="D144" s="22">
        <f t="shared" si="17"/>
        <v>-0.32936422050802011</v>
      </c>
      <c r="E144" s="22">
        <f t="shared" si="18"/>
        <v>1.4456456247873544</v>
      </c>
      <c r="F144" s="22">
        <f t="shared" si="19"/>
        <v>2.6235025590625547</v>
      </c>
      <c r="G144" s="22">
        <f t="shared" si="20"/>
        <v>-0.4315618733812282</v>
      </c>
      <c r="H144" s="22">
        <f t="shared" si="21"/>
        <v>-1.7795470041283916</v>
      </c>
      <c r="I144" s="22">
        <f t="shared" si="22"/>
        <v>1.2200709065066235</v>
      </c>
      <c r="J144" s="22">
        <f t="shared" si="23"/>
        <v>-1.2087766171515881</v>
      </c>
      <c r="K144" s="22">
        <f t="shared" si="24"/>
        <v>0.65017862781747626</v>
      </c>
      <c r="L144" s="22">
        <f t="shared" si="25"/>
        <v>0.60363888857167536</v>
      </c>
      <c r="M144" s="22">
        <f t="shared" si="26"/>
        <v>-0.85753330208894052</v>
      </c>
    </row>
    <row r="147" spans="1:14" x14ac:dyDescent="0.25">
      <c r="A147" t="s">
        <v>43</v>
      </c>
    </row>
    <row r="148" spans="1:14" x14ac:dyDescent="0.25">
      <c r="B148" t="str">
        <f>'2017 Ianelli'!$A$122</f>
        <v>Year</v>
      </c>
      <c r="C148" t="str">
        <f>'2017 Ianelli'!$B$122</f>
        <v>age-1</v>
      </c>
      <c r="D148" t="str">
        <f>'2017 Ianelli'!$C$122</f>
        <v>Age-2</v>
      </c>
      <c r="E148" t="str">
        <f>'2017 Ianelli'!$D$122</f>
        <v>Age-3</v>
      </c>
      <c r="F148" t="str">
        <f>'2017 Ianelli'!$E$122</f>
        <v>Age-4</v>
      </c>
      <c r="G148" t="str">
        <f>'2017 Ianelli'!$F$122</f>
        <v>Age-5</v>
      </c>
      <c r="H148" t="str">
        <f>'2017 Ianelli'!$G$122</f>
        <v>Age-6</v>
      </c>
      <c r="I148" t="str">
        <f>'2017 Ianelli'!$H$122</f>
        <v>TC index1</v>
      </c>
      <c r="J148" t="str">
        <f>'2017 Ianelli'!$I$122</f>
        <v>TC index2</v>
      </c>
      <c r="K148" t="str">
        <f>'2017 Ianelli'!$J$122</f>
        <v>TC index3</v>
      </c>
      <c r="L148" t="str">
        <f>'2017 Ianelli'!$K$122</f>
        <v>TC index4</v>
      </c>
      <c r="M148" t="str">
        <f>'2017 Ianelli'!$L$122</f>
        <v>TCindex5</v>
      </c>
      <c r="N148" t="str">
        <f>'2017 Ianelli'!$M$122</f>
        <v>TCindex6</v>
      </c>
    </row>
    <row r="149" spans="1:14" x14ac:dyDescent="0.25">
      <c r="A149" t="str">
        <f>'2017 Ianelli'!$A$122</f>
        <v>Year</v>
      </c>
      <c r="B149" s="22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</row>
    <row r="150" spans="1:14" x14ac:dyDescent="0.25">
      <c r="A150" t="str">
        <f>'2017 Ianelli'!$B$122</f>
        <v>age-1</v>
      </c>
      <c r="C150" s="22"/>
      <c r="D150" s="17"/>
      <c r="E150" s="17"/>
      <c r="F150" s="17"/>
      <c r="G150" s="17"/>
      <c r="H150" s="17"/>
      <c r="I150" s="36">
        <f>CORREL('2017 Ianelli'!$B$125:$B$144,'2017 Ianelli'!$H$125:$H$144)</f>
        <v>0.38311339992569488</v>
      </c>
      <c r="J150" s="17"/>
      <c r="K150" s="17"/>
      <c r="L150" s="17"/>
      <c r="M150" s="17"/>
      <c r="N150" s="17"/>
    </row>
    <row r="151" spans="1:14" x14ac:dyDescent="0.25">
      <c r="A151" t="str">
        <f>'2017 Ianelli'!$C$122</f>
        <v>Age-2</v>
      </c>
      <c r="D151" s="22"/>
      <c r="E151" s="17"/>
      <c r="F151" s="17"/>
      <c r="G151" s="17"/>
      <c r="H151" s="17"/>
      <c r="I151" s="17"/>
      <c r="J151" s="36">
        <f>CORREL('2017 Ianelli'!$C$125:$C$144,'2017 Ianelli'!$I$125:$I$144)</f>
        <v>0.39740244407088932</v>
      </c>
      <c r="K151" s="17"/>
      <c r="L151" s="17"/>
      <c r="M151" s="17"/>
      <c r="N151" s="17"/>
    </row>
    <row r="152" spans="1:14" x14ac:dyDescent="0.25">
      <c r="A152" t="str">
        <f>'2017 Ianelli'!$D$122</f>
        <v>Age-3</v>
      </c>
      <c r="E152" s="22"/>
      <c r="F152" s="17"/>
      <c r="G152" s="17"/>
      <c r="H152" s="17"/>
      <c r="I152" s="17"/>
      <c r="J152" s="17"/>
      <c r="K152" s="36">
        <f>CORREL('2017 Ianelli'!$D$125:$D$144,'2017 Ianelli'!$J$125:$J$144)</f>
        <v>0.4378923436382543</v>
      </c>
      <c r="L152" s="17"/>
      <c r="M152" s="17"/>
      <c r="N152" s="17"/>
    </row>
    <row r="153" spans="1:14" x14ac:dyDescent="0.25">
      <c r="A153" t="str">
        <f>'2017 Ianelli'!$E$122</f>
        <v>Age-4</v>
      </c>
      <c r="F153" s="22"/>
      <c r="G153" s="17"/>
      <c r="H153" s="17"/>
      <c r="I153" s="17"/>
      <c r="J153" s="17"/>
      <c r="K153" s="17"/>
      <c r="L153" s="36">
        <f>CORREL('2017 Ianelli'!$E$125:$E$144,'2017 Ianelli'!$K$125:$K$144)</f>
        <v>0.38721574368185818</v>
      </c>
      <c r="M153" s="17"/>
      <c r="N153" s="17"/>
    </row>
    <row r="154" spans="1:14" x14ac:dyDescent="0.25">
      <c r="A154" t="str">
        <f>'2017 Ianelli'!$F$122</f>
        <v>Age-5</v>
      </c>
      <c r="G154" s="22"/>
      <c r="H154" s="17"/>
      <c r="I154" s="17"/>
      <c r="J154" s="17"/>
      <c r="K154" s="17"/>
      <c r="L154" s="17"/>
      <c r="M154" s="36">
        <f>CORREL('2017 Ianelli'!$F$125:$F$144,'2017 Ianelli'!$L$125:$L$144)</f>
        <v>0.35643408423286838</v>
      </c>
      <c r="N154" s="17"/>
    </row>
    <row r="155" spans="1:14" x14ac:dyDescent="0.25">
      <c r="A155" t="str">
        <f>'2017 Ianelli'!$G$122</f>
        <v>Age-6</v>
      </c>
      <c r="H155" s="22"/>
      <c r="I155" s="17"/>
      <c r="J155" s="17"/>
      <c r="K155" s="17"/>
      <c r="L155" s="17"/>
      <c r="M155" s="17"/>
      <c r="N155" s="36">
        <f>CORREL('2017 Ianelli'!$G$125:$G$144,'2017 Ianelli'!$M$125:$M$144)</f>
        <v>0.41139333129816458</v>
      </c>
    </row>
    <row r="156" spans="1:14" x14ac:dyDescent="0.25">
      <c r="A156" t="str">
        <f>'2017 Ianelli'!$H$122</f>
        <v>TC index1</v>
      </c>
      <c r="I156" s="22"/>
      <c r="J156" s="17"/>
      <c r="K156" s="17"/>
      <c r="L156" s="17"/>
      <c r="M156" s="17"/>
      <c r="N156" s="17"/>
    </row>
    <row r="157" spans="1:14" x14ac:dyDescent="0.25">
      <c r="A157" t="str">
        <f>'2017 Ianelli'!$I$122</f>
        <v>TC index2</v>
      </c>
      <c r="J157" s="22"/>
      <c r="K157" s="17"/>
      <c r="L157" s="17"/>
      <c r="M157" s="17"/>
      <c r="N157" s="17"/>
    </row>
    <row r="158" spans="1:14" x14ac:dyDescent="0.25">
      <c r="A158" t="str">
        <f>'2017 Ianelli'!$J$122</f>
        <v>TC index3</v>
      </c>
      <c r="K158" s="22"/>
      <c r="L158" s="17"/>
      <c r="M158" s="17"/>
      <c r="N158" s="17"/>
    </row>
    <row r="159" spans="1:14" x14ac:dyDescent="0.25">
      <c r="A159" t="str">
        <f>'2017 Ianelli'!$K$122</f>
        <v>TC index4</v>
      </c>
      <c r="L159" s="22"/>
      <c r="M159" s="17"/>
      <c r="N159" s="17"/>
    </row>
    <row r="160" spans="1:14" x14ac:dyDescent="0.25">
      <c r="A160" t="str">
        <f>'2017 Ianelli'!$L$122</f>
        <v>TCindex5</v>
      </c>
      <c r="M160" s="22"/>
      <c r="N160" s="17"/>
    </row>
    <row r="161" spans="1:14" x14ac:dyDescent="0.25">
      <c r="A161" t="str">
        <f>'2017 Ianelli'!$M$122</f>
        <v>TCindex6</v>
      </c>
      <c r="N161" s="22"/>
    </row>
    <row r="163" spans="1:14" x14ac:dyDescent="0.25">
      <c r="A163" t="str">
        <f>"Correlation statistic two-tailed p-values (approx.). Bold values indicate statistical significance at the " &amp; FIXED(100 * $B$164, 0) &amp; "% confidence level."</f>
        <v>Correlation statistic two-tailed p-values (approx.). Bold values indicate statistical significance at the 95% confidence level.</v>
      </c>
    </row>
    <row r="164" spans="1:14" x14ac:dyDescent="0.25">
      <c r="A164" t="s">
        <v>29</v>
      </c>
      <c r="B164" s="21">
        <v>0.95</v>
      </c>
      <c r="E164" s="17"/>
    </row>
    <row r="165" spans="1:14" x14ac:dyDescent="0.25">
      <c r="B165" t="str">
        <f>$B$148</f>
        <v>Year</v>
      </c>
      <c r="C165" t="str">
        <f>$C$148</f>
        <v>age-1</v>
      </c>
      <c r="D165" t="str">
        <f>$D$148</f>
        <v>Age-2</v>
      </c>
      <c r="E165" t="str">
        <f>$E$148</f>
        <v>Age-3</v>
      </c>
      <c r="F165" t="str">
        <f>$F$148</f>
        <v>Age-4</v>
      </c>
      <c r="G165" t="str">
        <f>$G$148</f>
        <v>Age-5</v>
      </c>
      <c r="H165" t="str">
        <f>$H$148</f>
        <v>Age-6</v>
      </c>
      <c r="I165" t="str">
        <f>$I$148</f>
        <v>TC index1</v>
      </c>
      <c r="J165" t="str">
        <f>$J$148</f>
        <v>TC index2</v>
      </c>
      <c r="K165" t="str">
        <f>$K$148</f>
        <v>TC index3</v>
      </c>
      <c r="L165" t="str">
        <f>$L$148</f>
        <v>TC index4</v>
      </c>
      <c r="M165" t="str">
        <f>$M$148</f>
        <v>TCindex5</v>
      </c>
      <c r="N165" t="str">
        <f>$N$148</f>
        <v>TCindex6</v>
      </c>
    </row>
    <row r="166" spans="1:14" x14ac:dyDescent="0.25">
      <c r="A166" t="str">
        <f>$A$149</f>
        <v>Year</v>
      </c>
      <c r="C166">
        <f t="array" ref="C166">TDIST(ABS($C$149*((SUMPRODUCT(1*ISNUMBER('2017 Ianelli'!$A$123:$A$142)*ISNUMBER('2017 Ianelli'!$B$123:$B$142))-2)/(1-$C$149^2))^0.5),SUMPRODUCT(1*ISNUMBER('2017 Ianelli'!$A$123:$A$142)*ISNUMBER('2017 Ianelli'!$B$123:$B$142))-2,2)</f>
        <v>1</v>
      </c>
      <c r="D166">
        <f t="array" ref="D166">TDIST(ABS($D$149*((SUMPRODUCT(1*ISNUMBER('2017 Ianelli'!$A$123:$A$142)*ISNUMBER('2017 Ianelli'!$C$123:$C$142))-2)/(1-$D$149^2))^0.5),SUMPRODUCT(1*ISNUMBER('2017 Ianelli'!$A$123:$A$142)*ISNUMBER('2017 Ianelli'!$C$123:$C$142))-2,2)</f>
        <v>1</v>
      </c>
      <c r="E166">
        <f t="array" ref="E166">TDIST(ABS($E$149*((SUMPRODUCT(1*ISNUMBER('2017 Ianelli'!$A$123:$A$142)*ISNUMBER('2017 Ianelli'!$D$123:$D$142))-2)/(1-$E$149^2))^0.5),SUMPRODUCT(1*ISNUMBER('2017 Ianelli'!$A$123:$A$142)*ISNUMBER('2017 Ianelli'!$D$123:$D$142))-2,2)</f>
        <v>1</v>
      </c>
      <c r="F166">
        <f t="array" ref="F166">TDIST(ABS($F$149*((SUMPRODUCT(1*ISNUMBER('2017 Ianelli'!$A$123:$A$142)*ISNUMBER('2017 Ianelli'!$E$123:$E$142))-2)/(1-$F$149^2))^0.5),SUMPRODUCT(1*ISNUMBER('2017 Ianelli'!$A$123:$A$142)*ISNUMBER('2017 Ianelli'!$E$123:$E$142))-2,2)</f>
        <v>1</v>
      </c>
      <c r="G166">
        <f t="array" ref="G166">TDIST(ABS($G$149*((SUMPRODUCT(1*ISNUMBER('2017 Ianelli'!$A$123:$A$142)*ISNUMBER('2017 Ianelli'!$F$123:$F$142))-2)/(1-$G$149^2))^0.5),SUMPRODUCT(1*ISNUMBER('2017 Ianelli'!$A$123:$A$142)*ISNUMBER('2017 Ianelli'!$F$123:$F$142))-2,2)</f>
        <v>1</v>
      </c>
      <c r="H166">
        <f t="array" ref="H166">TDIST(ABS($H$149*((SUMPRODUCT(1*ISNUMBER('2017 Ianelli'!$A$123:$A$142)*ISNUMBER('2017 Ianelli'!$G$123:$G$142))-2)/(1-$H$149^2))^0.5),SUMPRODUCT(1*ISNUMBER('2017 Ianelli'!$A$123:$A$142)*ISNUMBER('2017 Ianelli'!$G$123:$G$142))-2,2)</f>
        <v>1</v>
      </c>
      <c r="I166">
        <f t="array" ref="I166">TDIST(ABS($I$149*((SUMPRODUCT(1*ISNUMBER('2017 Ianelli'!$A$123:$A$142)*ISNUMBER('2017 Ianelli'!$H$123:$H$142))-2)/(1-$I$149^2))^0.5),SUMPRODUCT(1*ISNUMBER('2017 Ianelli'!$A$123:$A$142)*ISNUMBER('2017 Ianelli'!$H$123:$H$142))-2,2)</f>
        <v>1</v>
      </c>
      <c r="J166">
        <f t="array" ref="J166">TDIST(ABS($J$149*((SUMPRODUCT(1*ISNUMBER('2017 Ianelli'!$A$123:$A$142)*ISNUMBER('2017 Ianelli'!$I$123:$I$142))-2)/(1-$J$149^2))^0.5),SUMPRODUCT(1*ISNUMBER('2017 Ianelli'!$A$123:$A$142)*ISNUMBER('2017 Ianelli'!$I$123:$I$142))-2,2)</f>
        <v>1</v>
      </c>
      <c r="K166">
        <f t="array" ref="K166">TDIST(ABS($K$149*((SUMPRODUCT(1*ISNUMBER('2017 Ianelli'!$A$123:$A$142)*ISNUMBER('2017 Ianelli'!$J$123:$J$142))-2)/(1-$K$149^2))^0.5),SUMPRODUCT(1*ISNUMBER('2017 Ianelli'!$A$123:$A$142)*ISNUMBER('2017 Ianelli'!$J$123:$J$142))-2,2)</f>
        <v>1</v>
      </c>
      <c r="L166">
        <f t="array" ref="L166">TDIST(ABS($L$149*((SUMPRODUCT(1*ISNUMBER('2017 Ianelli'!$A$123:$A$142)*ISNUMBER('2017 Ianelli'!$K$123:$K$142))-2)/(1-$L$149^2))^0.5),SUMPRODUCT(1*ISNUMBER('2017 Ianelli'!$A$123:$A$142)*ISNUMBER('2017 Ianelli'!$K$123:$K$142))-2,2)</f>
        <v>1</v>
      </c>
      <c r="M166">
        <f t="array" ref="M166">TDIST(ABS($M$149*((SUMPRODUCT(1*ISNUMBER('2017 Ianelli'!$A$123:$A$142)*ISNUMBER('2017 Ianelli'!$L$123:$L$142))-2)/(1-$M$149^2))^0.5),SUMPRODUCT(1*ISNUMBER('2017 Ianelli'!$A$123:$A$142)*ISNUMBER('2017 Ianelli'!$L$123:$L$142))-2,2)</f>
        <v>1</v>
      </c>
      <c r="N166">
        <f t="array" ref="N166">TDIST(ABS($N$149*((SUMPRODUCT(1*ISNUMBER('2017 Ianelli'!$A$123:$A$142)*ISNUMBER('2017 Ianelli'!$M$123:$M$142))-2)/(1-$N$149^2))^0.5),SUMPRODUCT(1*ISNUMBER('2017 Ianelli'!$A$123:$A$142)*ISNUMBER('2017 Ianelli'!$M$123:$M$142))-2,2)</f>
        <v>1</v>
      </c>
    </row>
    <row r="167" spans="1:14" x14ac:dyDescent="0.25">
      <c r="A167" t="str">
        <f>$A$150</f>
        <v>age-1</v>
      </c>
      <c r="D167">
        <f t="array" ref="D167">TDIST(ABS($D$150*((SUMPRODUCT(1*ISNUMBER('2017 Ianelli'!$B$123:$B$142)*ISNUMBER('2017 Ianelli'!$C$123:$C$142))-2)/(1-$D$150^2))^0.5),SUMPRODUCT(1*ISNUMBER('2017 Ianelli'!$B$123:$B$142)*ISNUMBER('2017 Ianelli'!$C$123:$C$142))-2,2)</f>
        <v>1</v>
      </c>
      <c r="E167">
        <f t="array" ref="E167">TDIST(ABS($E$150*((SUMPRODUCT(1*ISNUMBER('2017 Ianelli'!$B$123:$B$142)*ISNUMBER('2017 Ianelli'!$D$123:$D$142))-2)/(1-$E$150^2))^0.5),SUMPRODUCT(1*ISNUMBER('2017 Ianelli'!$B$123:$B$142)*ISNUMBER('2017 Ianelli'!$D$123:$D$142))-2,2)</f>
        <v>1</v>
      </c>
      <c r="F167">
        <f t="array" ref="F167">TDIST(ABS($F$150*((SUMPRODUCT(1*ISNUMBER('2017 Ianelli'!$B$123:$B$142)*ISNUMBER('2017 Ianelli'!$E$123:$E$142))-2)/(1-$F$150^2))^0.5),SUMPRODUCT(1*ISNUMBER('2017 Ianelli'!$B$123:$B$142)*ISNUMBER('2017 Ianelli'!$E$123:$E$142))-2,2)</f>
        <v>1</v>
      </c>
      <c r="G167">
        <f t="array" ref="G167">TDIST(ABS($G$150*((SUMPRODUCT(1*ISNUMBER('2017 Ianelli'!$B$123:$B$142)*ISNUMBER('2017 Ianelli'!$F$123:$F$142))-2)/(1-$G$150^2))^0.5),SUMPRODUCT(1*ISNUMBER('2017 Ianelli'!$B$123:$B$142)*ISNUMBER('2017 Ianelli'!$F$123:$F$142))-2,2)</f>
        <v>1</v>
      </c>
      <c r="H167">
        <f t="array" ref="H167">TDIST(ABS($H$150*((SUMPRODUCT(1*ISNUMBER('2017 Ianelli'!$B$123:$B$142)*ISNUMBER('2017 Ianelli'!$G$123:$G$142))-2)/(1-$H$150^2))^0.5),SUMPRODUCT(1*ISNUMBER('2017 Ianelli'!$B$123:$B$142)*ISNUMBER('2017 Ianelli'!$G$123:$G$142))-2,2)</f>
        <v>1</v>
      </c>
      <c r="I167">
        <f t="array" ref="I167">TDIST(ABS($I$150*((SUMPRODUCT(1*ISNUMBER('2017 Ianelli'!$B$123:$B$142)*ISNUMBER('2017 Ianelli'!$H$123:$H$142))-2)/(1-$I$150^2))^0.5),SUMPRODUCT(1*ISNUMBER('2017 Ianelli'!$B$123:$B$142)*ISNUMBER('2017 Ianelli'!$H$123:$H$142))-2,2)</f>
        <v>9.5447741614585066E-2</v>
      </c>
      <c r="J167">
        <f t="array" ref="J167">TDIST(ABS($J$150*((SUMPRODUCT(1*ISNUMBER('2017 Ianelli'!$B$123:$B$142)*ISNUMBER('2017 Ianelli'!$I$123:$I$142))-2)/(1-$J$150^2))^0.5),SUMPRODUCT(1*ISNUMBER('2017 Ianelli'!$B$123:$B$142)*ISNUMBER('2017 Ianelli'!$I$123:$I$142))-2,2)</f>
        <v>1</v>
      </c>
      <c r="K167">
        <f t="array" ref="K167">TDIST(ABS($K$150*((SUMPRODUCT(1*ISNUMBER('2017 Ianelli'!$B$123:$B$142)*ISNUMBER('2017 Ianelli'!$J$123:$J$142))-2)/(1-$K$150^2))^0.5),SUMPRODUCT(1*ISNUMBER('2017 Ianelli'!$B$123:$B$142)*ISNUMBER('2017 Ianelli'!$J$123:$J$142))-2,2)</f>
        <v>1</v>
      </c>
      <c r="L167">
        <f t="array" ref="L167">TDIST(ABS($L$150*((SUMPRODUCT(1*ISNUMBER('2017 Ianelli'!$B$123:$B$142)*ISNUMBER('2017 Ianelli'!$K$123:$K$142))-2)/(1-$L$150^2))^0.5),SUMPRODUCT(1*ISNUMBER('2017 Ianelli'!$B$123:$B$142)*ISNUMBER('2017 Ianelli'!$K$123:$K$142))-2,2)</f>
        <v>1</v>
      </c>
      <c r="M167">
        <f t="array" ref="M167">TDIST(ABS($M$150*((SUMPRODUCT(1*ISNUMBER('2017 Ianelli'!$B$123:$B$142)*ISNUMBER('2017 Ianelli'!$L$123:$L$142))-2)/(1-$M$150^2))^0.5),SUMPRODUCT(1*ISNUMBER('2017 Ianelli'!$B$123:$B$142)*ISNUMBER('2017 Ianelli'!$L$123:$L$142))-2,2)</f>
        <v>1</v>
      </c>
      <c r="N167">
        <f t="array" ref="N167">TDIST(ABS($N$150*((SUMPRODUCT(1*ISNUMBER('2017 Ianelli'!$B$123:$B$142)*ISNUMBER('2017 Ianelli'!$M$123:$M$142))-2)/(1-$N$150^2))^0.5),SUMPRODUCT(1*ISNUMBER('2017 Ianelli'!$B$123:$B$142)*ISNUMBER('2017 Ianelli'!$M$123:$M$142))-2,2)</f>
        <v>1</v>
      </c>
    </row>
    <row r="168" spans="1:14" x14ac:dyDescent="0.25">
      <c r="A168" t="str">
        <f>$A$151</f>
        <v>Age-2</v>
      </c>
      <c r="E168">
        <f t="array" ref="E168">TDIST(ABS($E$151*((SUMPRODUCT(1*ISNUMBER('2017 Ianelli'!$C$123:$C$142)*ISNUMBER('2017 Ianelli'!$D$123:$D$142))-2)/(1-$E$151^2))^0.5),SUMPRODUCT(1*ISNUMBER('2017 Ianelli'!$C$123:$C$142)*ISNUMBER('2017 Ianelli'!$D$123:$D$142))-2,2)</f>
        <v>1</v>
      </c>
      <c r="F168">
        <f t="array" ref="F168">TDIST(ABS($F$151*((SUMPRODUCT(1*ISNUMBER('2017 Ianelli'!$C$123:$C$142)*ISNUMBER('2017 Ianelli'!$E$123:$E$142))-2)/(1-$F$151^2))^0.5),SUMPRODUCT(1*ISNUMBER('2017 Ianelli'!$C$123:$C$142)*ISNUMBER('2017 Ianelli'!$E$123:$E$142))-2,2)</f>
        <v>1</v>
      </c>
      <c r="G168">
        <f t="array" ref="G168">TDIST(ABS($G$151*((SUMPRODUCT(1*ISNUMBER('2017 Ianelli'!$C$123:$C$142)*ISNUMBER('2017 Ianelli'!$F$123:$F$142))-2)/(1-$G$151^2))^0.5),SUMPRODUCT(1*ISNUMBER('2017 Ianelli'!$C$123:$C$142)*ISNUMBER('2017 Ianelli'!$F$123:$F$142))-2,2)</f>
        <v>1</v>
      </c>
      <c r="H168">
        <f t="array" ref="H168">TDIST(ABS($H$151*((SUMPRODUCT(1*ISNUMBER('2017 Ianelli'!$C$123:$C$142)*ISNUMBER('2017 Ianelli'!$G$123:$G$142))-2)/(1-$H$151^2))^0.5),SUMPRODUCT(1*ISNUMBER('2017 Ianelli'!$C$123:$C$142)*ISNUMBER('2017 Ianelli'!$G$123:$G$142))-2,2)</f>
        <v>1</v>
      </c>
      <c r="I168">
        <f t="array" ref="I168">TDIST(ABS($I$151*((SUMPRODUCT(1*ISNUMBER('2017 Ianelli'!$C$123:$C$142)*ISNUMBER('2017 Ianelli'!$H$123:$H$142))-2)/(1-$I$151^2))^0.5),SUMPRODUCT(1*ISNUMBER('2017 Ianelli'!$C$123:$C$142)*ISNUMBER('2017 Ianelli'!$H$123:$H$142))-2,2)</f>
        <v>1</v>
      </c>
      <c r="J168">
        <f t="array" ref="J168">TDIST(ABS($J$151*((SUMPRODUCT(1*ISNUMBER('2017 Ianelli'!$C$123:$C$142)*ISNUMBER('2017 Ianelli'!$I$123:$I$142))-2)/(1-$J$151^2))^0.5),SUMPRODUCT(1*ISNUMBER('2017 Ianelli'!$C$123:$C$142)*ISNUMBER('2017 Ianelli'!$I$123:$I$142))-2,2)</f>
        <v>8.2724765381061507E-2</v>
      </c>
      <c r="K168">
        <f t="array" ref="K168">TDIST(ABS($K$151*((SUMPRODUCT(1*ISNUMBER('2017 Ianelli'!$C$123:$C$142)*ISNUMBER('2017 Ianelli'!$J$123:$J$142))-2)/(1-$K$151^2))^0.5),SUMPRODUCT(1*ISNUMBER('2017 Ianelli'!$C$123:$C$142)*ISNUMBER('2017 Ianelli'!$J$123:$J$142))-2,2)</f>
        <v>1</v>
      </c>
      <c r="L168">
        <f t="array" ref="L168">TDIST(ABS($L$151*((SUMPRODUCT(1*ISNUMBER('2017 Ianelli'!$C$123:$C$142)*ISNUMBER('2017 Ianelli'!$K$123:$K$142))-2)/(1-$L$151^2))^0.5),SUMPRODUCT(1*ISNUMBER('2017 Ianelli'!$C$123:$C$142)*ISNUMBER('2017 Ianelli'!$K$123:$K$142))-2,2)</f>
        <v>1</v>
      </c>
      <c r="M168">
        <f t="array" ref="M168">TDIST(ABS($M$151*((SUMPRODUCT(1*ISNUMBER('2017 Ianelli'!$C$123:$C$142)*ISNUMBER('2017 Ianelli'!$L$123:$L$142))-2)/(1-$M$151^2))^0.5),SUMPRODUCT(1*ISNUMBER('2017 Ianelli'!$C$123:$C$142)*ISNUMBER('2017 Ianelli'!$L$123:$L$142))-2,2)</f>
        <v>1</v>
      </c>
      <c r="N168">
        <f t="array" ref="N168">TDIST(ABS($N$151*((SUMPRODUCT(1*ISNUMBER('2017 Ianelli'!$C$123:$C$142)*ISNUMBER('2017 Ianelli'!$M$123:$M$142))-2)/(1-$N$151^2))^0.5),SUMPRODUCT(1*ISNUMBER('2017 Ianelli'!$C$123:$C$142)*ISNUMBER('2017 Ianelli'!$M$123:$M$142))-2,2)</f>
        <v>1</v>
      </c>
    </row>
    <row r="169" spans="1:14" x14ac:dyDescent="0.25">
      <c r="A169" t="str">
        <f>$A$152</f>
        <v>Age-3</v>
      </c>
      <c r="F169">
        <f t="array" ref="F169">TDIST(ABS($F$152*((SUMPRODUCT(1*ISNUMBER('2017 Ianelli'!$D$123:$D$142)*ISNUMBER('2017 Ianelli'!$E$123:$E$142))-2)/(1-$F$152^2))^0.5),SUMPRODUCT(1*ISNUMBER('2017 Ianelli'!$D$123:$D$142)*ISNUMBER('2017 Ianelli'!$E$123:$E$142))-2,2)</f>
        <v>1</v>
      </c>
      <c r="G169">
        <f t="array" ref="G169">TDIST(ABS($G$152*((SUMPRODUCT(1*ISNUMBER('2017 Ianelli'!$D$123:$D$142)*ISNUMBER('2017 Ianelli'!$F$123:$F$142))-2)/(1-$G$152^2))^0.5),SUMPRODUCT(1*ISNUMBER('2017 Ianelli'!$D$123:$D$142)*ISNUMBER('2017 Ianelli'!$F$123:$F$142))-2,2)</f>
        <v>1</v>
      </c>
      <c r="H169">
        <f t="array" ref="H169">TDIST(ABS($H$152*((SUMPRODUCT(1*ISNUMBER('2017 Ianelli'!$D$123:$D$142)*ISNUMBER('2017 Ianelli'!$G$123:$G$142))-2)/(1-$H$152^2))^0.5),SUMPRODUCT(1*ISNUMBER('2017 Ianelli'!$D$123:$D$142)*ISNUMBER('2017 Ianelli'!$G$123:$G$142))-2,2)</f>
        <v>1</v>
      </c>
      <c r="I169">
        <f t="array" ref="I169">TDIST(ABS($I$152*((SUMPRODUCT(1*ISNUMBER('2017 Ianelli'!$D$123:$D$142)*ISNUMBER('2017 Ianelli'!$H$123:$H$142))-2)/(1-$I$152^2))^0.5),SUMPRODUCT(1*ISNUMBER('2017 Ianelli'!$D$123:$D$142)*ISNUMBER('2017 Ianelli'!$H$123:$H$142))-2,2)</f>
        <v>1</v>
      </c>
      <c r="J169">
        <f t="array" ref="J169">TDIST(ABS($J$152*((SUMPRODUCT(1*ISNUMBER('2017 Ianelli'!$D$123:$D$142)*ISNUMBER('2017 Ianelli'!$I$123:$I$142))-2)/(1-$J$152^2))^0.5),SUMPRODUCT(1*ISNUMBER('2017 Ianelli'!$D$123:$D$142)*ISNUMBER('2017 Ianelli'!$I$123:$I$142))-2,2)</f>
        <v>1</v>
      </c>
      <c r="K169">
        <f t="array" ref="K169">TDIST(ABS($K$152*((SUMPRODUCT(1*ISNUMBER('2017 Ianelli'!$D$123:$D$142)*ISNUMBER('2017 Ianelli'!$J$123:$J$142))-2)/(1-$K$152^2))^0.5),SUMPRODUCT(1*ISNUMBER('2017 Ianelli'!$D$123:$D$142)*ISNUMBER('2017 Ianelli'!$J$123:$J$142))-2,2)</f>
        <v>5.3479798651751009E-2</v>
      </c>
      <c r="L169">
        <f t="array" ref="L169">TDIST(ABS($L$152*((SUMPRODUCT(1*ISNUMBER('2017 Ianelli'!$D$123:$D$142)*ISNUMBER('2017 Ianelli'!$K$123:$K$142))-2)/(1-$L$152^2))^0.5),SUMPRODUCT(1*ISNUMBER('2017 Ianelli'!$D$123:$D$142)*ISNUMBER('2017 Ianelli'!$K$123:$K$142))-2,2)</f>
        <v>1</v>
      </c>
      <c r="M169">
        <f t="array" ref="M169">TDIST(ABS($M$152*((SUMPRODUCT(1*ISNUMBER('2017 Ianelli'!$D$123:$D$142)*ISNUMBER('2017 Ianelli'!$L$123:$L$142))-2)/(1-$M$152^2))^0.5),SUMPRODUCT(1*ISNUMBER('2017 Ianelli'!$D$123:$D$142)*ISNUMBER('2017 Ianelli'!$L$123:$L$142))-2,2)</f>
        <v>1</v>
      </c>
      <c r="N169">
        <f t="array" ref="N169">TDIST(ABS($N$152*((SUMPRODUCT(1*ISNUMBER('2017 Ianelli'!$D$123:$D$142)*ISNUMBER('2017 Ianelli'!$M$123:$M$142))-2)/(1-$N$152^2))^0.5),SUMPRODUCT(1*ISNUMBER('2017 Ianelli'!$D$123:$D$142)*ISNUMBER('2017 Ianelli'!$M$123:$M$142))-2,2)</f>
        <v>1</v>
      </c>
    </row>
    <row r="170" spans="1:14" x14ac:dyDescent="0.25">
      <c r="A170" t="str">
        <f>$A$153</f>
        <v>Age-4</v>
      </c>
      <c r="G170">
        <f t="array" ref="G170">TDIST(ABS($G$153*((SUMPRODUCT(1*ISNUMBER('2017 Ianelli'!$E$123:$E$142)*ISNUMBER('2017 Ianelli'!$F$123:$F$142))-2)/(1-$G$153^2))^0.5),SUMPRODUCT(1*ISNUMBER('2017 Ianelli'!$E$123:$E$142)*ISNUMBER('2017 Ianelli'!$F$123:$F$142))-2,2)</f>
        <v>1</v>
      </c>
      <c r="H170">
        <f t="array" ref="H170">TDIST(ABS($H$153*((SUMPRODUCT(1*ISNUMBER('2017 Ianelli'!$E$123:$E$142)*ISNUMBER('2017 Ianelli'!$G$123:$G$142))-2)/(1-$H$153^2))^0.5),SUMPRODUCT(1*ISNUMBER('2017 Ianelli'!$E$123:$E$142)*ISNUMBER('2017 Ianelli'!$G$123:$G$142))-2,2)</f>
        <v>1</v>
      </c>
      <c r="I170">
        <f t="array" ref="I170">TDIST(ABS($I$153*((SUMPRODUCT(1*ISNUMBER('2017 Ianelli'!$E$123:$E$142)*ISNUMBER('2017 Ianelli'!$H$123:$H$142))-2)/(1-$I$153^2))^0.5),SUMPRODUCT(1*ISNUMBER('2017 Ianelli'!$E$123:$E$142)*ISNUMBER('2017 Ianelli'!$H$123:$H$142))-2,2)</f>
        <v>1</v>
      </c>
      <c r="J170">
        <f t="array" ref="J170">TDIST(ABS($J$153*((SUMPRODUCT(1*ISNUMBER('2017 Ianelli'!$E$123:$E$142)*ISNUMBER('2017 Ianelli'!$I$123:$I$142))-2)/(1-$J$153^2))^0.5),SUMPRODUCT(1*ISNUMBER('2017 Ianelli'!$E$123:$E$142)*ISNUMBER('2017 Ianelli'!$I$123:$I$142))-2,2)</f>
        <v>1</v>
      </c>
      <c r="K170">
        <f t="array" ref="K170">TDIST(ABS($K$153*((SUMPRODUCT(1*ISNUMBER('2017 Ianelli'!$E$123:$E$142)*ISNUMBER('2017 Ianelli'!$J$123:$J$142))-2)/(1-$K$153^2))^0.5),SUMPRODUCT(1*ISNUMBER('2017 Ianelli'!$E$123:$E$142)*ISNUMBER('2017 Ianelli'!$J$123:$J$142))-2,2)</f>
        <v>1</v>
      </c>
      <c r="L170">
        <f t="array" ref="L170">TDIST(ABS($L$153*((SUMPRODUCT(1*ISNUMBER('2017 Ianelli'!$E$123:$E$142)*ISNUMBER('2017 Ianelli'!$K$123:$K$142))-2)/(1-$L$153^2))^0.5),SUMPRODUCT(1*ISNUMBER('2017 Ianelli'!$E$123:$E$142)*ISNUMBER('2017 Ianelli'!$K$123:$K$142))-2,2)</f>
        <v>9.1657473817688434E-2</v>
      </c>
      <c r="M170">
        <f t="array" ref="M170">TDIST(ABS($M$153*((SUMPRODUCT(1*ISNUMBER('2017 Ianelli'!$E$123:$E$142)*ISNUMBER('2017 Ianelli'!$L$123:$L$142))-2)/(1-$M$153^2))^0.5),SUMPRODUCT(1*ISNUMBER('2017 Ianelli'!$E$123:$E$142)*ISNUMBER('2017 Ianelli'!$L$123:$L$142))-2,2)</f>
        <v>1</v>
      </c>
      <c r="N170">
        <f t="array" ref="N170">TDIST(ABS($N$153*((SUMPRODUCT(1*ISNUMBER('2017 Ianelli'!$E$123:$E$142)*ISNUMBER('2017 Ianelli'!$M$123:$M$142))-2)/(1-$N$153^2))^0.5),SUMPRODUCT(1*ISNUMBER('2017 Ianelli'!$E$123:$E$142)*ISNUMBER('2017 Ianelli'!$M$123:$M$142))-2,2)</f>
        <v>1</v>
      </c>
    </row>
    <row r="171" spans="1:14" x14ac:dyDescent="0.25">
      <c r="A171" t="str">
        <f>$A$154</f>
        <v>Age-5</v>
      </c>
      <c r="H171">
        <f t="array" ref="H171">TDIST(ABS($H$154*((SUMPRODUCT(1*ISNUMBER('2017 Ianelli'!$F$123:$F$142)*ISNUMBER('2017 Ianelli'!$G$123:$G$142))-2)/(1-$H$154^2))^0.5),SUMPRODUCT(1*ISNUMBER('2017 Ianelli'!$F$123:$F$142)*ISNUMBER('2017 Ianelli'!$G$123:$G$142))-2,2)</f>
        <v>1</v>
      </c>
      <c r="I171">
        <f t="array" ref="I171">TDIST(ABS($I$154*((SUMPRODUCT(1*ISNUMBER('2017 Ianelli'!$F$123:$F$142)*ISNUMBER('2017 Ianelli'!$H$123:$H$142))-2)/(1-$I$154^2))^0.5),SUMPRODUCT(1*ISNUMBER('2017 Ianelli'!$F$123:$F$142)*ISNUMBER('2017 Ianelli'!$H$123:$H$142))-2,2)</f>
        <v>1</v>
      </c>
      <c r="J171">
        <f t="array" ref="J171">TDIST(ABS($J$154*((SUMPRODUCT(1*ISNUMBER('2017 Ianelli'!$F$123:$F$142)*ISNUMBER('2017 Ianelli'!$I$123:$I$142))-2)/(1-$J$154^2))^0.5),SUMPRODUCT(1*ISNUMBER('2017 Ianelli'!$F$123:$F$142)*ISNUMBER('2017 Ianelli'!$I$123:$I$142))-2,2)</f>
        <v>1</v>
      </c>
      <c r="K171">
        <f t="array" ref="K171">TDIST(ABS($K$154*((SUMPRODUCT(1*ISNUMBER('2017 Ianelli'!$F$123:$F$142)*ISNUMBER('2017 Ianelli'!$J$123:$J$142))-2)/(1-$K$154^2))^0.5),SUMPRODUCT(1*ISNUMBER('2017 Ianelli'!$F$123:$F$142)*ISNUMBER('2017 Ianelli'!$J$123:$J$142))-2,2)</f>
        <v>1</v>
      </c>
      <c r="L171">
        <f t="array" ref="L171">TDIST(ABS($L$154*((SUMPRODUCT(1*ISNUMBER('2017 Ianelli'!$F$123:$F$142)*ISNUMBER('2017 Ianelli'!$K$123:$K$142))-2)/(1-$L$154^2))^0.5),SUMPRODUCT(1*ISNUMBER('2017 Ianelli'!$F$123:$F$142)*ISNUMBER('2017 Ianelli'!$K$123:$K$142))-2,2)</f>
        <v>1</v>
      </c>
      <c r="M171">
        <f t="array" ref="M171">TDIST(ABS($M$154*((SUMPRODUCT(1*ISNUMBER('2017 Ianelli'!$F$123:$F$142)*ISNUMBER('2017 Ianelli'!$L$123:$L$142))-2)/(1-$M$154^2))^0.5),SUMPRODUCT(1*ISNUMBER('2017 Ianelli'!$F$123:$F$142)*ISNUMBER('2017 Ianelli'!$L$123:$L$142))-2,2)</f>
        <v>0.12293777209586748</v>
      </c>
      <c r="N171">
        <f t="array" ref="N171">TDIST(ABS($N$154*((SUMPRODUCT(1*ISNUMBER('2017 Ianelli'!$F$123:$F$142)*ISNUMBER('2017 Ianelli'!$M$123:$M$142))-2)/(1-$N$154^2))^0.5),SUMPRODUCT(1*ISNUMBER('2017 Ianelli'!$F$123:$F$142)*ISNUMBER('2017 Ianelli'!$M$123:$M$142))-2,2)</f>
        <v>1</v>
      </c>
    </row>
    <row r="172" spans="1:14" x14ac:dyDescent="0.25">
      <c r="A172" t="str">
        <f>$A$155</f>
        <v>Age-6</v>
      </c>
      <c r="I172">
        <f t="array" ref="I172">TDIST(ABS($I$155*((SUMPRODUCT(1*ISNUMBER('2017 Ianelli'!$G$123:$G$142)*ISNUMBER('2017 Ianelli'!$H$123:$H$142))-2)/(1-$I$155^2))^0.5),SUMPRODUCT(1*ISNUMBER('2017 Ianelli'!$G$123:$G$142)*ISNUMBER('2017 Ianelli'!$H$123:$H$142))-2,2)</f>
        <v>1</v>
      </c>
      <c r="J172">
        <f t="array" ref="J172">TDIST(ABS($J$155*((SUMPRODUCT(1*ISNUMBER('2017 Ianelli'!$G$123:$G$142)*ISNUMBER('2017 Ianelli'!$I$123:$I$142))-2)/(1-$J$155^2))^0.5),SUMPRODUCT(1*ISNUMBER('2017 Ianelli'!$G$123:$G$142)*ISNUMBER('2017 Ianelli'!$I$123:$I$142))-2,2)</f>
        <v>1</v>
      </c>
      <c r="K172">
        <f t="array" ref="K172">TDIST(ABS($K$155*((SUMPRODUCT(1*ISNUMBER('2017 Ianelli'!$G$123:$G$142)*ISNUMBER('2017 Ianelli'!$J$123:$J$142))-2)/(1-$K$155^2))^0.5),SUMPRODUCT(1*ISNUMBER('2017 Ianelli'!$G$123:$G$142)*ISNUMBER('2017 Ianelli'!$J$123:$J$142))-2,2)</f>
        <v>1</v>
      </c>
      <c r="L172">
        <f t="array" ref="L172">TDIST(ABS($L$155*((SUMPRODUCT(1*ISNUMBER('2017 Ianelli'!$G$123:$G$142)*ISNUMBER('2017 Ianelli'!$K$123:$K$142))-2)/(1-$L$155^2))^0.5),SUMPRODUCT(1*ISNUMBER('2017 Ianelli'!$G$123:$G$142)*ISNUMBER('2017 Ianelli'!$K$123:$K$142))-2,2)</f>
        <v>1</v>
      </c>
      <c r="M172">
        <f t="array" ref="M172">TDIST(ABS($M$155*((SUMPRODUCT(1*ISNUMBER('2017 Ianelli'!$G$123:$G$142)*ISNUMBER('2017 Ianelli'!$L$123:$L$142))-2)/(1-$M$155^2))^0.5),SUMPRODUCT(1*ISNUMBER('2017 Ianelli'!$G$123:$G$142)*ISNUMBER('2017 Ianelli'!$L$123:$L$142))-2,2)</f>
        <v>1</v>
      </c>
      <c r="N172">
        <f t="array" ref="N172">TDIST(ABS($N$155*((SUMPRODUCT(1*ISNUMBER('2017 Ianelli'!$G$123:$G$142)*ISNUMBER('2017 Ianelli'!$M$123:$M$142))-2)/(1-$N$155^2))^0.5),SUMPRODUCT(1*ISNUMBER('2017 Ianelli'!$G$123:$G$142)*ISNUMBER('2017 Ianelli'!$M$123:$M$142))-2,2)</f>
        <v>7.1528282131137322E-2</v>
      </c>
    </row>
    <row r="173" spans="1:14" x14ac:dyDescent="0.25">
      <c r="A173" t="str">
        <f>$A$156</f>
        <v>TC index1</v>
      </c>
      <c r="J173">
        <f t="array" ref="J173">TDIST(ABS($J$156*((SUMPRODUCT(1*ISNUMBER('2017 Ianelli'!$H$123:$H$142)*ISNUMBER('2017 Ianelli'!$I$123:$I$142))-2)/(1-$J$156^2))^0.5),SUMPRODUCT(1*ISNUMBER('2017 Ianelli'!$H$123:$H$142)*ISNUMBER('2017 Ianelli'!$I$123:$I$142))-2,2)</f>
        <v>1</v>
      </c>
      <c r="K173">
        <f t="array" ref="K173">TDIST(ABS($K$156*((SUMPRODUCT(1*ISNUMBER('2017 Ianelli'!$H$123:$H$142)*ISNUMBER('2017 Ianelli'!$J$123:$J$142))-2)/(1-$K$156^2))^0.5),SUMPRODUCT(1*ISNUMBER('2017 Ianelli'!$H$123:$H$142)*ISNUMBER('2017 Ianelli'!$J$123:$J$142))-2,2)</f>
        <v>1</v>
      </c>
      <c r="L173">
        <f t="array" ref="L173">TDIST(ABS($L$156*((SUMPRODUCT(1*ISNUMBER('2017 Ianelli'!$H$123:$H$142)*ISNUMBER('2017 Ianelli'!$K$123:$K$142))-2)/(1-$L$156^2))^0.5),SUMPRODUCT(1*ISNUMBER('2017 Ianelli'!$H$123:$H$142)*ISNUMBER('2017 Ianelli'!$K$123:$K$142))-2,2)</f>
        <v>1</v>
      </c>
      <c r="M173">
        <f t="array" ref="M173">TDIST(ABS($M$156*((SUMPRODUCT(1*ISNUMBER('2017 Ianelli'!$H$123:$H$142)*ISNUMBER('2017 Ianelli'!$L$123:$L$142))-2)/(1-$M$156^2))^0.5),SUMPRODUCT(1*ISNUMBER('2017 Ianelli'!$H$123:$H$142)*ISNUMBER('2017 Ianelli'!$L$123:$L$142))-2,2)</f>
        <v>1</v>
      </c>
      <c r="N173">
        <f t="array" ref="N173">TDIST(ABS($N$156*((SUMPRODUCT(1*ISNUMBER('2017 Ianelli'!$H$123:$H$142)*ISNUMBER('2017 Ianelli'!$M$123:$M$142))-2)/(1-$N$156^2))^0.5),SUMPRODUCT(1*ISNUMBER('2017 Ianelli'!$H$123:$H$142)*ISNUMBER('2017 Ianelli'!$M$123:$M$142))-2,2)</f>
        <v>1</v>
      </c>
    </row>
    <row r="174" spans="1:14" x14ac:dyDescent="0.25">
      <c r="A174" t="str">
        <f>$A$157</f>
        <v>TC index2</v>
      </c>
      <c r="K174">
        <f t="array" ref="K174">TDIST(ABS($K$157*((SUMPRODUCT(1*ISNUMBER('2017 Ianelli'!$I$123:$I$142)*ISNUMBER('2017 Ianelli'!$J$123:$J$142))-2)/(1-$K$157^2))^0.5),SUMPRODUCT(1*ISNUMBER('2017 Ianelli'!$I$123:$I$142)*ISNUMBER('2017 Ianelli'!$J$123:$J$142))-2,2)</f>
        <v>1</v>
      </c>
      <c r="L174">
        <f t="array" ref="L174">TDIST(ABS($L$157*((SUMPRODUCT(1*ISNUMBER('2017 Ianelli'!$I$123:$I$142)*ISNUMBER('2017 Ianelli'!$K$123:$K$142))-2)/(1-$L$157^2))^0.5),SUMPRODUCT(1*ISNUMBER('2017 Ianelli'!$I$123:$I$142)*ISNUMBER('2017 Ianelli'!$K$123:$K$142))-2,2)</f>
        <v>1</v>
      </c>
      <c r="M174">
        <f t="array" ref="M174">TDIST(ABS($M$157*((SUMPRODUCT(1*ISNUMBER('2017 Ianelli'!$I$123:$I$142)*ISNUMBER('2017 Ianelli'!$L$123:$L$142))-2)/(1-$M$157^2))^0.5),SUMPRODUCT(1*ISNUMBER('2017 Ianelli'!$I$123:$I$142)*ISNUMBER('2017 Ianelli'!$L$123:$L$142))-2,2)</f>
        <v>1</v>
      </c>
      <c r="N174">
        <f t="array" ref="N174">TDIST(ABS($N$157*((SUMPRODUCT(1*ISNUMBER('2017 Ianelli'!$I$123:$I$142)*ISNUMBER('2017 Ianelli'!$M$123:$M$142))-2)/(1-$N$157^2))^0.5),SUMPRODUCT(1*ISNUMBER('2017 Ianelli'!$I$123:$I$142)*ISNUMBER('2017 Ianelli'!$M$123:$M$142))-2,2)</f>
        <v>1</v>
      </c>
    </row>
    <row r="175" spans="1:14" x14ac:dyDescent="0.25">
      <c r="A175" t="str">
        <f>$A$158</f>
        <v>TC index3</v>
      </c>
      <c r="L175">
        <f t="array" ref="L175">TDIST(ABS($L$158*((SUMPRODUCT(1*ISNUMBER('2017 Ianelli'!$J$123:$J$142)*ISNUMBER('2017 Ianelli'!$K$123:$K$142))-2)/(1-$L$158^2))^0.5),SUMPRODUCT(1*ISNUMBER('2017 Ianelli'!$J$123:$J$142)*ISNUMBER('2017 Ianelli'!$K$123:$K$142))-2,2)</f>
        <v>1</v>
      </c>
      <c r="M175">
        <f t="array" ref="M175">TDIST(ABS($M$158*((SUMPRODUCT(1*ISNUMBER('2017 Ianelli'!$J$123:$J$142)*ISNUMBER('2017 Ianelli'!$L$123:$L$142))-2)/(1-$M$158^2))^0.5),SUMPRODUCT(1*ISNUMBER('2017 Ianelli'!$J$123:$J$142)*ISNUMBER('2017 Ianelli'!$L$123:$L$142))-2,2)</f>
        <v>1</v>
      </c>
      <c r="N175">
        <f t="array" ref="N175">TDIST(ABS($N$158*((SUMPRODUCT(1*ISNUMBER('2017 Ianelli'!$J$123:$J$142)*ISNUMBER('2017 Ianelli'!$M$123:$M$142))-2)/(1-$N$158^2))^0.5),SUMPRODUCT(1*ISNUMBER('2017 Ianelli'!$J$123:$J$142)*ISNUMBER('2017 Ianelli'!$M$123:$M$142))-2,2)</f>
        <v>1</v>
      </c>
    </row>
    <row r="176" spans="1:14" x14ac:dyDescent="0.25">
      <c r="A176" t="str">
        <f>$A$159</f>
        <v>TC index4</v>
      </c>
      <c r="M176">
        <f t="array" ref="M176">TDIST(ABS($M$159*((SUMPRODUCT(1*ISNUMBER('2017 Ianelli'!$K$123:$K$142)*ISNUMBER('2017 Ianelli'!$L$123:$L$142))-2)/(1-$M$159^2))^0.5),SUMPRODUCT(1*ISNUMBER('2017 Ianelli'!$K$123:$K$142)*ISNUMBER('2017 Ianelli'!$L$123:$L$142))-2,2)</f>
        <v>1</v>
      </c>
      <c r="N176">
        <f t="array" ref="N176">TDIST(ABS($N$159*((SUMPRODUCT(1*ISNUMBER('2017 Ianelli'!$K$123:$K$142)*ISNUMBER('2017 Ianelli'!$M$123:$M$142))-2)/(1-$N$159^2))^0.5),SUMPRODUCT(1*ISNUMBER('2017 Ianelli'!$K$123:$K$142)*ISNUMBER('2017 Ianelli'!$M$123:$M$142))-2,2)</f>
        <v>1</v>
      </c>
    </row>
    <row r="177" spans="1:14" x14ac:dyDescent="0.25">
      <c r="A177" t="str">
        <f>$A$160</f>
        <v>TCindex5</v>
      </c>
      <c r="N177">
        <f t="array" ref="N177">TDIST(ABS($N$160*((SUMPRODUCT(1*ISNUMBER('2017 Ianelli'!$L$123:$L$142)*ISNUMBER('2017 Ianelli'!$M$123:$M$142))-2)/(1-$N$160^2))^0.5),SUMPRODUCT(1*ISNUMBER('2017 Ianelli'!$L$123:$L$142)*ISNUMBER('2017 Ianelli'!$M$123:$M$142))-2,2)</f>
        <v>1</v>
      </c>
    </row>
    <row r="178" spans="1:14" x14ac:dyDescent="0.25">
      <c r="A178" t="str">
        <f>$A$161</f>
        <v>TCindex6</v>
      </c>
    </row>
  </sheetData>
  <conditionalFormatting sqref="C104">
    <cfRule type="expression" dxfId="155" priority="1" stopIfTrue="1">
      <formula>$C$104&lt;=(1-$B$102)/2</formula>
    </cfRule>
  </conditionalFormatting>
  <conditionalFormatting sqref="D104">
    <cfRule type="expression" dxfId="154" priority="2" stopIfTrue="1">
      <formula>$D$104&lt;=(1-$B$102)/2</formula>
    </cfRule>
  </conditionalFormatting>
  <conditionalFormatting sqref="E104">
    <cfRule type="expression" dxfId="153" priority="3" stopIfTrue="1">
      <formula>$E$104&lt;=(1-$B$102)/2</formula>
    </cfRule>
  </conditionalFormatting>
  <conditionalFormatting sqref="F104">
    <cfRule type="expression" dxfId="152" priority="4" stopIfTrue="1">
      <formula>$F$104&lt;=(1-$B$102)/2</formula>
    </cfRule>
  </conditionalFormatting>
  <conditionalFormatting sqref="G104">
    <cfRule type="expression" dxfId="151" priority="5" stopIfTrue="1">
      <formula>$G$104&lt;=(1-$B$102)/2</formula>
    </cfRule>
  </conditionalFormatting>
  <conditionalFormatting sqref="H104">
    <cfRule type="expression" dxfId="150" priority="6" stopIfTrue="1">
      <formula>$H$104&lt;=(1-$B$102)/2</formula>
    </cfRule>
  </conditionalFormatting>
  <conditionalFormatting sqref="I104">
    <cfRule type="expression" dxfId="149" priority="7" stopIfTrue="1">
      <formula>$I$104&lt;=(1-$B$102)/2</formula>
    </cfRule>
  </conditionalFormatting>
  <conditionalFormatting sqref="J104">
    <cfRule type="expression" dxfId="148" priority="8" stopIfTrue="1">
      <formula>$J$104&lt;=(1-$B$102)/2</formula>
    </cfRule>
  </conditionalFormatting>
  <conditionalFormatting sqref="K104">
    <cfRule type="expression" dxfId="147" priority="9" stopIfTrue="1">
      <formula>$K$104&lt;=(1-$B$102)/2</formula>
    </cfRule>
  </conditionalFormatting>
  <conditionalFormatting sqref="L104">
    <cfRule type="expression" dxfId="146" priority="10" stopIfTrue="1">
      <formula>$L$104&lt;=(1-$B$102)/2</formula>
    </cfRule>
  </conditionalFormatting>
  <conditionalFormatting sqref="M104">
    <cfRule type="expression" dxfId="145" priority="11" stopIfTrue="1">
      <formula>$M$104&lt;=(1-$B$102)/2</formula>
    </cfRule>
  </conditionalFormatting>
  <conditionalFormatting sqref="N104">
    <cfRule type="expression" dxfId="144" priority="12" stopIfTrue="1">
      <formula>$N$104&lt;=(1-$B$102)/2</formula>
    </cfRule>
  </conditionalFormatting>
  <conditionalFormatting sqref="D105">
    <cfRule type="expression" dxfId="143" priority="13" stopIfTrue="1">
      <formula>$D$105&lt;=(1-$B$102)/2</formula>
    </cfRule>
  </conditionalFormatting>
  <conditionalFormatting sqref="E105">
    <cfRule type="expression" dxfId="142" priority="14" stopIfTrue="1">
      <formula>$E$105&lt;=(1-$B$102)/2</formula>
    </cfRule>
  </conditionalFormatting>
  <conditionalFormatting sqref="F105">
    <cfRule type="expression" dxfId="141" priority="15" stopIfTrue="1">
      <formula>$F$105&lt;=(1-$B$102)/2</formula>
    </cfRule>
  </conditionalFormatting>
  <conditionalFormatting sqref="G105">
    <cfRule type="expression" dxfId="140" priority="16" stopIfTrue="1">
      <formula>$G$105&lt;=(1-$B$102)/2</formula>
    </cfRule>
  </conditionalFormatting>
  <conditionalFormatting sqref="H105">
    <cfRule type="expression" dxfId="139" priority="17" stopIfTrue="1">
      <formula>$H$105&lt;=(1-$B$102)/2</formula>
    </cfRule>
  </conditionalFormatting>
  <conditionalFormatting sqref="I105">
    <cfRule type="expression" dxfId="138" priority="18" stopIfTrue="1">
      <formula>$I$105&lt;=(1-$B$102)/2</formula>
    </cfRule>
  </conditionalFormatting>
  <conditionalFormatting sqref="J105">
    <cfRule type="expression" dxfId="137" priority="19" stopIfTrue="1">
      <formula>$J$105&lt;=(1-$B$102)/2</formula>
    </cfRule>
  </conditionalFormatting>
  <conditionalFormatting sqref="K105">
    <cfRule type="expression" dxfId="136" priority="20" stopIfTrue="1">
      <formula>$K$105&lt;=(1-$B$102)/2</formula>
    </cfRule>
  </conditionalFormatting>
  <conditionalFormatting sqref="L105">
    <cfRule type="expression" dxfId="135" priority="21" stopIfTrue="1">
      <formula>$L$105&lt;=(1-$B$102)/2</formula>
    </cfRule>
  </conditionalFormatting>
  <conditionalFormatting sqref="M105">
    <cfRule type="expression" dxfId="134" priority="22" stopIfTrue="1">
      <formula>$M$105&lt;=(1-$B$102)/2</formula>
    </cfRule>
  </conditionalFormatting>
  <conditionalFormatting sqref="N105">
    <cfRule type="expression" dxfId="133" priority="23" stopIfTrue="1">
      <formula>$N$105&lt;=(1-$B$102)/2</formula>
    </cfRule>
  </conditionalFormatting>
  <conditionalFormatting sqref="E106">
    <cfRule type="expression" dxfId="132" priority="24" stopIfTrue="1">
      <formula>$E$106&lt;=(1-$B$102)/2</formula>
    </cfRule>
  </conditionalFormatting>
  <conditionalFormatting sqref="F106">
    <cfRule type="expression" dxfId="131" priority="25" stopIfTrue="1">
      <formula>$F$106&lt;=(1-$B$102)/2</formula>
    </cfRule>
  </conditionalFormatting>
  <conditionalFormatting sqref="G106">
    <cfRule type="expression" dxfId="130" priority="26" stopIfTrue="1">
      <formula>$G$106&lt;=(1-$B$102)/2</formula>
    </cfRule>
  </conditionalFormatting>
  <conditionalFormatting sqref="H106">
    <cfRule type="expression" dxfId="129" priority="27" stopIfTrue="1">
      <formula>$H$106&lt;=(1-$B$102)/2</formula>
    </cfRule>
  </conditionalFormatting>
  <conditionalFormatting sqref="I106">
    <cfRule type="expression" dxfId="128" priority="28" stopIfTrue="1">
      <formula>$I$106&lt;=(1-$B$102)/2</formula>
    </cfRule>
  </conditionalFormatting>
  <conditionalFormatting sqref="J106">
    <cfRule type="expression" dxfId="127" priority="29" stopIfTrue="1">
      <formula>$J$106&lt;=(1-$B$102)/2</formula>
    </cfRule>
  </conditionalFormatting>
  <conditionalFormatting sqref="K106">
    <cfRule type="expression" dxfId="126" priority="30" stopIfTrue="1">
      <formula>$K$106&lt;=(1-$B$102)/2</formula>
    </cfRule>
  </conditionalFormatting>
  <conditionalFormatting sqref="L106">
    <cfRule type="expression" dxfId="125" priority="31" stopIfTrue="1">
      <formula>$L$106&lt;=(1-$B$102)/2</formula>
    </cfRule>
  </conditionalFormatting>
  <conditionalFormatting sqref="M106">
    <cfRule type="expression" dxfId="124" priority="32" stopIfTrue="1">
      <formula>$M$106&lt;=(1-$B$102)/2</formula>
    </cfRule>
  </conditionalFormatting>
  <conditionalFormatting sqref="N106">
    <cfRule type="expression" dxfId="123" priority="33" stopIfTrue="1">
      <formula>$N$106&lt;=(1-$B$102)/2</formula>
    </cfRule>
  </conditionalFormatting>
  <conditionalFormatting sqref="F107">
    <cfRule type="expression" dxfId="122" priority="34" stopIfTrue="1">
      <formula>$F$107&lt;=(1-$B$102)/2</formula>
    </cfRule>
  </conditionalFormatting>
  <conditionalFormatting sqref="G107">
    <cfRule type="expression" dxfId="121" priority="35" stopIfTrue="1">
      <formula>$G$107&lt;=(1-$B$102)/2</formula>
    </cfRule>
  </conditionalFormatting>
  <conditionalFormatting sqref="H107">
    <cfRule type="expression" dxfId="120" priority="36" stopIfTrue="1">
      <formula>$H$107&lt;=(1-$B$102)/2</formula>
    </cfRule>
  </conditionalFormatting>
  <conditionalFormatting sqref="I107">
    <cfRule type="expression" dxfId="119" priority="37" stopIfTrue="1">
      <formula>$I$107&lt;=(1-$B$102)/2</formula>
    </cfRule>
  </conditionalFormatting>
  <conditionalFormatting sqref="J107">
    <cfRule type="expression" dxfId="118" priority="38" stopIfTrue="1">
      <formula>$J$107&lt;=(1-$B$102)/2</formula>
    </cfRule>
  </conditionalFormatting>
  <conditionalFormatting sqref="K107">
    <cfRule type="expression" dxfId="117" priority="39" stopIfTrue="1">
      <formula>$K$107&lt;=(1-$B$102)/2</formula>
    </cfRule>
  </conditionalFormatting>
  <conditionalFormatting sqref="L107">
    <cfRule type="expression" dxfId="116" priority="40" stopIfTrue="1">
      <formula>$L$107&lt;=(1-$B$102)/2</formula>
    </cfRule>
  </conditionalFormatting>
  <conditionalFormatting sqref="M107">
    <cfRule type="expression" dxfId="115" priority="41" stopIfTrue="1">
      <formula>$M$107&lt;=(1-$B$102)/2</formula>
    </cfRule>
  </conditionalFormatting>
  <conditionalFormatting sqref="N107">
    <cfRule type="expression" dxfId="114" priority="42" stopIfTrue="1">
      <formula>$N$107&lt;=(1-$B$102)/2</formula>
    </cfRule>
  </conditionalFormatting>
  <conditionalFormatting sqref="G108">
    <cfRule type="expression" dxfId="113" priority="43" stopIfTrue="1">
      <formula>$G$108&lt;=(1-$B$102)/2</formula>
    </cfRule>
  </conditionalFormatting>
  <conditionalFormatting sqref="H108">
    <cfRule type="expression" dxfId="112" priority="44" stopIfTrue="1">
      <formula>$H$108&lt;=(1-$B$102)/2</formula>
    </cfRule>
  </conditionalFormatting>
  <conditionalFormatting sqref="I108">
    <cfRule type="expression" dxfId="111" priority="45" stopIfTrue="1">
      <formula>$I$108&lt;=(1-$B$102)/2</formula>
    </cfRule>
  </conditionalFormatting>
  <conditionalFormatting sqref="J108">
    <cfRule type="expression" dxfId="110" priority="46" stopIfTrue="1">
      <formula>$J$108&lt;=(1-$B$102)/2</formula>
    </cfRule>
  </conditionalFormatting>
  <conditionalFormatting sqref="K108">
    <cfRule type="expression" dxfId="109" priority="47" stopIfTrue="1">
      <formula>$K$108&lt;=(1-$B$102)/2</formula>
    </cfRule>
  </conditionalFormatting>
  <conditionalFormatting sqref="L108">
    <cfRule type="expression" dxfId="108" priority="48" stopIfTrue="1">
      <formula>$L$108&lt;=(1-$B$102)/2</formula>
    </cfRule>
  </conditionalFormatting>
  <conditionalFormatting sqref="M108">
    <cfRule type="expression" dxfId="107" priority="49" stopIfTrue="1">
      <formula>$M$108&lt;=(1-$B$102)/2</formula>
    </cfRule>
  </conditionalFormatting>
  <conditionalFormatting sqref="N108">
    <cfRule type="expression" dxfId="106" priority="50" stopIfTrue="1">
      <formula>$N$108&lt;=(1-$B$102)/2</formula>
    </cfRule>
  </conditionalFormatting>
  <conditionalFormatting sqref="H109">
    <cfRule type="expression" dxfId="105" priority="51" stopIfTrue="1">
      <formula>$H$109&lt;=(1-$B$102)/2</formula>
    </cfRule>
  </conditionalFormatting>
  <conditionalFormatting sqref="I109">
    <cfRule type="expression" dxfId="104" priority="52" stopIfTrue="1">
      <formula>$I$109&lt;=(1-$B$102)/2</formula>
    </cfRule>
  </conditionalFormatting>
  <conditionalFormatting sqref="J109">
    <cfRule type="expression" dxfId="103" priority="53" stopIfTrue="1">
      <formula>$J$109&lt;=(1-$B$102)/2</formula>
    </cfRule>
  </conditionalFormatting>
  <conditionalFormatting sqref="K109">
    <cfRule type="expression" dxfId="102" priority="54" stopIfTrue="1">
      <formula>$K$109&lt;=(1-$B$102)/2</formula>
    </cfRule>
  </conditionalFormatting>
  <conditionalFormatting sqref="L109">
    <cfRule type="expression" dxfId="101" priority="55" stopIfTrue="1">
      <formula>$L$109&lt;=(1-$B$102)/2</formula>
    </cfRule>
  </conditionalFormatting>
  <conditionalFormatting sqref="M109">
    <cfRule type="expression" dxfId="100" priority="56" stopIfTrue="1">
      <formula>$M$109&lt;=(1-$B$102)/2</formula>
    </cfRule>
  </conditionalFormatting>
  <conditionalFormatting sqref="N109">
    <cfRule type="expression" dxfId="99" priority="57" stopIfTrue="1">
      <formula>$N$109&lt;=(1-$B$102)/2</formula>
    </cfRule>
  </conditionalFormatting>
  <conditionalFormatting sqref="I110">
    <cfRule type="expression" dxfId="98" priority="58" stopIfTrue="1">
      <formula>$I$110&lt;=(1-$B$102)/2</formula>
    </cfRule>
  </conditionalFormatting>
  <conditionalFormatting sqref="J110">
    <cfRule type="expression" dxfId="97" priority="59" stopIfTrue="1">
      <formula>$J$110&lt;=(1-$B$102)/2</formula>
    </cfRule>
  </conditionalFormatting>
  <conditionalFormatting sqref="K110">
    <cfRule type="expression" dxfId="96" priority="60" stopIfTrue="1">
      <formula>$K$110&lt;=(1-$B$102)/2</formula>
    </cfRule>
  </conditionalFormatting>
  <conditionalFormatting sqref="L110">
    <cfRule type="expression" dxfId="95" priority="61" stopIfTrue="1">
      <formula>$L$110&lt;=(1-$B$102)/2</formula>
    </cfRule>
  </conditionalFormatting>
  <conditionalFormatting sqref="M110">
    <cfRule type="expression" dxfId="94" priority="62" stopIfTrue="1">
      <formula>$M$110&lt;=(1-$B$102)/2</formula>
    </cfRule>
  </conditionalFormatting>
  <conditionalFormatting sqref="N110">
    <cfRule type="expression" dxfId="93" priority="63" stopIfTrue="1">
      <formula>$N$110&lt;=(1-$B$102)/2</formula>
    </cfRule>
  </conditionalFormatting>
  <conditionalFormatting sqref="J111">
    <cfRule type="expression" dxfId="92" priority="64" stopIfTrue="1">
      <formula>$J$111&lt;=(1-$B$102)/2</formula>
    </cfRule>
  </conditionalFormatting>
  <conditionalFormatting sqref="K111">
    <cfRule type="expression" dxfId="91" priority="65" stopIfTrue="1">
      <formula>$K$111&lt;=(1-$B$102)/2</formula>
    </cfRule>
  </conditionalFormatting>
  <conditionalFormatting sqref="L111">
    <cfRule type="expression" dxfId="90" priority="66" stopIfTrue="1">
      <formula>$L$111&lt;=(1-$B$102)/2</formula>
    </cfRule>
  </conditionalFormatting>
  <conditionalFormatting sqref="M111">
    <cfRule type="expression" dxfId="89" priority="67" stopIfTrue="1">
      <formula>$M$111&lt;=(1-$B$102)/2</formula>
    </cfRule>
  </conditionalFormatting>
  <conditionalFormatting sqref="N111">
    <cfRule type="expression" dxfId="88" priority="68" stopIfTrue="1">
      <formula>$N$111&lt;=(1-$B$102)/2</formula>
    </cfRule>
  </conditionalFormatting>
  <conditionalFormatting sqref="K112">
    <cfRule type="expression" dxfId="87" priority="69" stopIfTrue="1">
      <formula>$K$112&lt;=(1-$B$102)/2</formula>
    </cfRule>
  </conditionalFormatting>
  <conditionalFormatting sqref="L112">
    <cfRule type="expression" dxfId="86" priority="70" stopIfTrue="1">
      <formula>$L$112&lt;=(1-$B$102)/2</formula>
    </cfRule>
  </conditionalFormatting>
  <conditionalFormatting sqref="M112">
    <cfRule type="expression" dxfId="85" priority="71" stopIfTrue="1">
      <formula>$M$112&lt;=(1-$B$102)/2</formula>
    </cfRule>
  </conditionalFormatting>
  <conditionalFormatting sqref="N112">
    <cfRule type="expression" dxfId="84" priority="72" stopIfTrue="1">
      <formula>$N$112&lt;=(1-$B$102)/2</formula>
    </cfRule>
  </conditionalFormatting>
  <conditionalFormatting sqref="L113">
    <cfRule type="expression" dxfId="83" priority="73" stopIfTrue="1">
      <formula>$L$113&lt;=(1-$B$102)/2</formula>
    </cfRule>
  </conditionalFormatting>
  <conditionalFormatting sqref="M113">
    <cfRule type="expression" dxfId="82" priority="74" stopIfTrue="1">
      <formula>$M$113&lt;=(1-$B$102)/2</formula>
    </cfRule>
  </conditionalFormatting>
  <conditionalFormatting sqref="N113">
    <cfRule type="expression" dxfId="81" priority="75" stopIfTrue="1">
      <formula>$N$113&lt;=(1-$B$102)/2</formula>
    </cfRule>
  </conditionalFormatting>
  <conditionalFormatting sqref="M114">
    <cfRule type="expression" dxfId="80" priority="76" stopIfTrue="1">
      <formula>$M$114&lt;=(1-$B$102)/2</formula>
    </cfRule>
  </conditionalFormatting>
  <conditionalFormatting sqref="N114">
    <cfRule type="expression" dxfId="79" priority="77" stopIfTrue="1">
      <formula>$N$114&lt;=(1-$B$102)/2</formula>
    </cfRule>
  </conditionalFormatting>
  <conditionalFormatting sqref="N115">
    <cfRule type="expression" dxfId="78" priority="78" stopIfTrue="1">
      <formula>$N$115&lt;=(1-$B$102)/2</formula>
    </cfRule>
  </conditionalFormatting>
  <conditionalFormatting sqref="C166">
    <cfRule type="expression" dxfId="77" priority="79" stopIfTrue="1">
      <formula>$C$166&lt;=(1-$B$164)/2</formula>
    </cfRule>
  </conditionalFormatting>
  <conditionalFormatting sqref="D166">
    <cfRule type="expression" dxfId="76" priority="80" stopIfTrue="1">
      <formula>$D$166&lt;=(1-$B$164)/2</formula>
    </cfRule>
  </conditionalFormatting>
  <conditionalFormatting sqref="E166">
    <cfRule type="expression" dxfId="75" priority="81" stopIfTrue="1">
      <formula>$E$166&lt;=(1-$B$164)/2</formula>
    </cfRule>
  </conditionalFormatting>
  <conditionalFormatting sqref="F166">
    <cfRule type="expression" dxfId="74" priority="82" stopIfTrue="1">
      <formula>$F$166&lt;=(1-$B$164)/2</formula>
    </cfRule>
  </conditionalFormatting>
  <conditionalFormatting sqref="G166">
    <cfRule type="expression" dxfId="73" priority="83" stopIfTrue="1">
      <formula>$G$166&lt;=(1-$B$164)/2</formula>
    </cfRule>
  </conditionalFormatting>
  <conditionalFormatting sqref="H166">
    <cfRule type="expression" dxfId="72" priority="84" stopIfTrue="1">
      <formula>$H$166&lt;=(1-$B$164)/2</formula>
    </cfRule>
  </conditionalFormatting>
  <conditionalFormatting sqref="I166">
    <cfRule type="expression" dxfId="71" priority="85" stopIfTrue="1">
      <formula>$I$166&lt;=(1-$B$164)/2</formula>
    </cfRule>
  </conditionalFormatting>
  <conditionalFormatting sqref="J166">
    <cfRule type="expression" dxfId="70" priority="86" stopIfTrue="1">
      <formula>$J$166&lt;=(1-$B$164)/2</formula>
    </cfRule>
  </conditionalFormatting>
  <conditionalFormatting sqref="K166">
    <cfRule type="expression" dxfId="69" priority="87" stopIfTrue="1">
      <formula>$K$166&lt;=(1-$B$164)/2</formula>
    </cfRule>
  </conditionalFormatting>
  <conditionalFormatting sqref="L166">
    <cfRule type="expression" dxfId="68" priority="88" stopIfTrue="1">
      <formula>$L$166&lt;=(1-$B$164)/2</formula>
    </cfRule>
  </conditionalFormatting>
  <conditionalFormatting sqref="M166">
    <cfRule type="expression" dxfId="67" priority="89" stopIfTrue="1">
      <formula>$M$166&lt;=(1-$B$164)/2</formula>
    </cfRule>
  </conditionalFormatting>
  <conditionalFormatting sqref="N166">
    <cfRule type="expression" dxfId="66" priority="90" stopIfTrue="1">
      <formula>$N$166&lt;=(1-$B$164)/2</formula>
    </cfRule>
  </conditionalFormatting>
  <conditionalFormatting sqref="D167">
    <cfRule type="expression" dxfId="65" priority="91" stopIfTrue="1">
      <formula>$D$167&lt;=(1-$B$164)/2</formula>
    </cfRule>
  </conditionalFormatting>
  <conditionalFormatting sqref="E167">
    <cfRule type="expression" dxfId="64" priority="92" stopIfTrue="1">
      <formula>$E$167&lt;=(1-$B$164)/2</formula>
    </cfRule>
  </conditionalFormatting>
  <conditionalFormatting sqref="F167">
    <cfRule type="expression" dxfId="63" priority="93" stopIfTrue="1">
      <formula>$F$167&lt;=(1-$B$164)/2</formula>
    </cfRule>
  </conditionalFormatting>
  <conditionalFormatting sqref="G167">
    <cfRule type="expression" dxfId="62" priority="94" stopIfTrue="1">
      <formula>$G$167&lt;=(1-$B$164)/2</formula>
    </cfRule>
  </conditionalFormatting>
  <conditionalFormatting sqref="H167">
    <cfRule type="expression" dxfId="61" priority="95" stopIfTrue="1">
      <formula>$H$167&lt;=(1-$B$164)/2</formula>
    </cfRule>
  </conditionalFormatting>
  <conditionalFormatting sqref="I167">
    <cfRule type="expression" dxfId="60" priority="96" stopIfTrue="1">
      <formula>$I$167&lt;=(1-$B$164)/2</formula>
    </cfRule>
  </conditionalFormatting>
  <conditionalFormatting sqref="J167">
    <cfRule type="expression" dxfId="59" priority="97" stopIfTrue="1">
      <formula>$J$167&lt;=(1-$B$164)/2</formula>
    </cfRule>
  </conditionalFormatting>
  <conditionalFormatting sqref="K167">
    <cfRule type="expression" dxfId="58" priority="98" stopIfTrue="1">
      <formula>$K$167&lt;=(1-$B$164)/2</formula>
    </cfRule>
  </conditionalFormatting>
  <conditionalFormatting sqref="L167">
    <cfRule type="expression" dxfId="57" priority="99" stopIfTrue="1">
      <formula>$L$167&lt;=(1-$B$164)/2</formula>
    </cfRule>
  </conditionalFormatting>
  <conditionalFormatting sqref="M167">
    <cfRule type="expression" dxfId="56" priority="100" stopIfTrue="1">
      <formula>$M$167&lt;=(1-$B$164)/2</formula>
    </cfRule>
  </conditionalFormatting>
  <conditionalFormatting sqref="N167">
    <cfRule type="expression" dxfId="55" priority="101" stopIfTrue="1">
      <formula>$N$167&lt;=(1-$B$164)/2</formula>
    </cfRule>
  </conditionalFormatting>
  <conditionalFormatting sqref="E168">
    <cfRule type="expression" dxfId="54" priority="102" stopIfTrue="1">
      <formula>$E$168&lt;=(1-$B$164)/2</formula>
    </cfRule>
  </conditionalFormatting>
  <conditionalFormatting sqref="F168">
    <cfRule type="expression" dxfId="53" priority="103" stopIfTrue="1">
      <formula>$F$168&lt;=(1-$B$164)/2</formula>
    </cfRule>
  </conditionalFormatting>
  <conditionalFormatting sqref="G168">
    <cfRule type="expression" dxfId="52" priority="104" stopIfTrue="1">
      <formula>$G$168&lt;=(1-$B$164)/2</formula>
    </cfRule>
  </conditionalFormatting>
  <conditionalFormatting sqref="H168">
    <cfRule type="expression" dxfId="51" priority="105" stopIfTrue="1">
      <formula>$H$168&lt;=(1-$B$164)/2</formula>
    </cfRule>
  </conditionalFormatting>
  <conditionalFormatting sqref="I168">
    <cfRule type="expression" dxfId="50" priority="106" stopIfTrue="1">
      <formula>$I$168&lt;=(1-$B$164)/2</formula>
    </cfRule>
  </conditionalFormatting>
  <conditionalFormatting sqref="J168">
    <cfRule type="expression" dxfId="49" priority="107" stopIfTrue="1">
      <formula>$J$168&lt;=(1-$B$164)/2</formula>
    </cfRule>
  </conditionalFormatting>
  <conditionalFormatting sqref="K168">
    <cfRule type="expression" dxfId="48" priority="108" stopIfTrue="1">
      <formula>$K$168&lt;=(1-$B$164)/2</formula>
    </cfRule>
  </conditionalFormatting>
  <conditionalFormatting sqref="L168">
    <cfRule type="expression" dxfId="47" priority="109" stopIfTrue="1">
      <formula>$L$168&lt;=(1-$B$164)/2</formula>
    </cfRule>
  </conditionalFormatting>
  <conditionalFormatting sqref="M168">
    <cfRule type="expression" dxfId="46" priority="110" stopIfTrue="1">
      <formula>$M$168&lt;=(1-$B$164)/2</formula>
    </cfRule>
  </conditionalFormatting>
  <conditionalFormatting sqref="N168">
    <cfRule type="expression" dxfId="45" priority="111" stopIfTrue="1">
      <formula>$N$168&lt;=(1-$B$164)/2</formula>
    </cfRule>
  </conditionalFormatting>
  <conditionalFormatting sqref="F169">
    <cfRule type="expression" dxfId="44" priority="112" stopIfTrue="1">
      <formula>$F$169&lt;=(1-$B$164)/2</formula>
    </cfRule>
  </conditionalFormatting>
  <conditionalFormatting sqref="G169">
    <cfRule type="expression" dxfId="43" priority="113" stopIfTrue="1">
      <formula>$G$169&lt;=(1-$B$164)/2</formula>
    </cfRule>
  </conditionalFormatting>
  <conditionalFormatting sqref="H169">
    <cfRule type="expression" dxfId="42" priority="114" stopIfTrue="1">
      <formula>$H$169&lt;=(1-$B$164)/2</formula>
    </cfRule>
  </conditionalFormatting>
  <conditionalFormatting sqref="I169">
    <cfRule type="expression" dxfId="41" priority="115" stopIfTrue="1">
      <formula>$I$169&lt;=(1-$B$164)/2</formula>
    </cfRule>
  </conditionalFormatting>
  <conditionalFormatting sqref="J169">
    <cfRule type="expression" dxfId="40" priority="116" stopIfTrue="1">
      <formula>$J$169&lt;=(1-$B$164)/2</formula>
    </cfRule>
  </conditionalFormatting>
  <conditionalFormatting sqref="K169">
    <cfRule type="expression" dxfId="39" priority="117" stopIfTrue="1">
      <formula>$K$169&lt;=(1-$B$164)/2</formula>
    </cfRule>
  </conditionalFormatting>
  <conditionalFormatting sqref="L169">
    <cfRule type="expression" dxfId="38" priority="118" stopIfTrue="1">
      <formula>$L$169&lt;=(1-$B$164)/2</formula>
    </cfRule>
  </conditionalFormatting>
  <conditionalFormatting sqref="M169">
    <cfRule type="expression" dxfId="37" priority="119" stopIfTrue="1">
      <formula>$M$169&lt;=(1-$B$164)/2</formula>
    </cfRule>
  </conditionalFormatting>
  <conditionalFormatting sqref="N169">
    <cfRule type="expression" dxfId="36" priority="120" stopIfTrue="1">
      <formula>$N$169&lt;=(1-$B$164)/2</formula>
    </cfRule>
  </conditionalFormatting>
  <conditionalFormatting sqref="G170">
    <cfRule type="expression" dxfId="35" priority="121" stopIfTrue="1">
      <formula>$G$170&lt;=(1-$B$164)/2</formula>
    </cfRule>
  </conditionalFormatting>
  <conditionalFormatting sqref="H170">
    <cfRule type="expression" dxfId="34" priority="122" stopIfTrue="1">
      <formula>$H$170&lt;=(1-$B$164)/2</formula>
    </cfRule>
  </conditionalFormatting>
  <conditionalFormatting sqref="I170">
    <cfRule type="expression" dxfId="33" priority="123" stopIfTrue="1">
      <formula>$I$170&lt;=(1-$B$164)/2</formula>
    </cfRule>
  </conditionalFormatting>
  <conditionalFormatting sqref="J170">
    <cfRule type="expression" dxfId="32" priority="124" stopIfTrue="1">
      <formula>$J$170&lt;=(1-$B$164)/2</formula>
    </cfRule>
  </conditionalFormatting>
  <conditionalFormatting sqref="K170">
    <cfRule type="expression" dxfId="31" priority="125" stopIfTrue="1">
      <formula>$K$170&lt;=(1-$B$164)/2</formula>
    </cfRule>
  </conditionalFormatting>
  <conditionalFormatting sqref="L170">
    <cfRule type="expression" dxfId="30" priority="126" stopIfTrue="1">
      <formula>$L$170&lt;=(1-$B$164)/2</formula>
    </cfRule>
  </conditionalFormatting>
  <conditionalFormatting sqref="M170">
    <cfRule type="expression" dxfId="29" priority="127" stopIfTrue="1">
      <formula>$M$170&lt;=(1-$B$164)/2</formula>
    </cfRule>
  </conditionalFormatting>
  <conditionalFormatting sqref="N170">
    <cfRule type="expression" dxfId="28" priority="128" stopIfTrue="1">
      <formula>$N$170&lt;=(1-$B$164)/2</formula>
    </cfRule>
  </conditionalFormatting>
  <conditionalFormatting sqref="H171">
    <cfRule type="expression" dxfId="27" priority="129" stopIfTrue="1">
      <formula>$H$171&lt;=(1-$B$164)/2</formula>
    </cfRule>
  </conditionalFormatting>
  <conditionalFormatting sqref="I171">
    <cfRule type="expression" dxfId="26" priority="130" stopIfTrue="1">
      <formula>$I$171&lt;=(1-$B$164)/2</formula>
    </cfRule>
  </conditionalFormatting>
  <conditionalFormatting sqref="J171">
    <cfRule type="expression" dxfId="25" priority="131" stopIfTrue="1">
      <formula>$J$171&lt;=(1-$B$164)/2</formula>
    </cfRule>
  </conditionalFormatting>
  <conditionalFormatting sqref="K171">
    <cfRule type="expression" dxfId="24" priority="132" stopIfTrue="1">
      <formula>$K$171&lt;=(1-$B$164)/2</formula>
    </cfRule>
  </conditionalFormatting>
  <conditionalFormatting sqref="L171">
    <cfRule type="expression" dxfId="23" priority="133" stopIfTrue="1">
      <formula>$L$171&lt;=(1-$B$164)/2</formula>
    </cfRule>
  </conditionalFormatting>
  <conditionalFormatting sqref="M171">
    <cfRule type="expression" dxfId="22" priority="134" stopIfTrue="1">
      <formula>$M$171&lt;=(1-$B$164)/2</formula>
    </cfRule>
  </conditionalFormatting>
  <conditionalFormatting sqref="N171">
    <cfRule type="expression" dxfId="21" priority="135" stopIfTrue="1">
      <formula>$N$171&lt;=(1-$B$164)/2</formula>
    </cfRule>
  </conditionalFormatting>
  <conditionalFormatting sqref="I172">
    <cfRule type="expression" dxfId="20" priority="136" stopIfTrue="1">
      <formula>$I$172&lt;=(1-$B$164)/2</formula>
    </cfRule>
  </conditionalFormatting>
  <conditionalFormatting sqref="J172">
    <cfRule type="expression" dxfId="19" priority="137" stopIfTrue="1">
      <formula>$J$172&lt;=(1-$B$164)/2</formula>
    </cfRule>
  </conditionalFormatting>
  <conditionalFormatting sqref="K172">
    <cfRule type="expression" dxfId="18" priority="138" stopIfTrue="1">
      <formula>$K$172&lt;=(1-$B$164)/2</formula>
    </cfRule>
  </conditionalFormatting>
  <conditionalFormatting sqref="L172">
    <cfRule type="expression" dxfId="17" priority="139" stopIfTrue="1">
      <formula>$L$172&lt;=(1-$B$164)/2</formula>
    </cfRule>
  </conditionalFormatting>
  <conditionalFormatting sqref="M172">
    <cfRule type="expression" dxfId="16" priority="140" stopIfTrue="1">
      <formula>$M$172&lt;=(1-$B$164)/2</formula>
    </cfRule>
  </conditionalFormatting>
  <conditionalFormatting sqref="N172">
    <cfRule type="expression" dxfId="15" priority="141" stopIfTrue="1">
      <formula>$N$172&lt;=(1-$B$164)/2</formula>
    </cfRule>
  </conditionalFormatting>
  <conditionalFormatting sqref="J173">
    <cfRule type="expression" dxfId="14" priority="142" stopIfTrue="1">
      <formula>$J$173&lt;=(1-$B$164)/2</formula>
    </cfRule>
  </conditionalFormatting>
  <conditionalFormatting sqref="K173">
    <cfRule type="expression" dxfId="13" priority="143" stopIfTrue="1">
      <formula>$K$173&lt;=(1-$B$164)/2</formula>
    </cfRule>
  </conditionalFormatting>
  <conditionalFormatting sqref="L173">
    <cfRule type="expression" dxfId="12" priority="144" stopIfTrue="1">
      <formula>$L$173&lt;=(1-$B$164)/2</formula>
    </cfRule>
  </conditionalFormatting>
  <conditionalFormatting sqref="M173">
    <cfRule type="expression" dxfId="11" priority="145" stopIfTrue="1">
      <formula>$M$173&lt;=(1-$B$164)/2</formula>
    </cfRule>
  </conditionalFormatting>
  <conditionalFormatting sqref="N173">
    <cfRule type="expression" dxfId="10" priority="146" stopIfTrue="1">
      <formula>$N$173&lt;=(1-$B$164)/2</formula>
    </cfRule>
  </conditionalFormatting>
  <conditionalFormatting sqref="K174">
    <cfRule type="expression" dxfId="9" priority="147" stopIfTrue="1">
      <formula>$K$174&lt;=(1-$B$164)/2</formula>
    </cfRule>
  </conditionalFormatting>
  <conditionalFormatting sqref="L174">
    <cfRule type="expression" dxfId="8" priority="148" stopIfTrue="1">
      <formula>$L$174&lt;=(1-$B$164)/2</formula>
    </cfRule>
  </conditionalFormatting>
  <conditionalFormatting sqref="M174">
    <cfRule type="expression" dxfId="7" priority="149" stopIfTrue="1">
      <formula>$M$174&lt;=(1-$B$164)/2</formula>
    </cfRule>
  </conditionalFormatting>
  <conditionalFormatting sqref="N174">
    <cfRule type="expression" dxfId="6" priority="150" stopIfTrue="1">
      <formula>$N$174&lt;=(1-$B$164)/2</formula>
    </cfRule>
  </conditionalFormatting>
  <conditionalFormatting sqref="L175">
    <cfRule type="expression" dxfId="5" priority="151" stopIfTrue="1">
      <formula>$L$175&lt;=(1-$B$164)/2</formula>
    </cfRule>
  </conditionalFormatting>
  <conditionalFormatting sqref="M175">
    <cfRule type="expression" dxfId="4" priority="152" stopIfTrue="1">
      <formula>$M$175&lt;=(1-$B$164)/2</formula>
    </cfRule>
  </conditionalFormatting>
  <conditionalFormatting sqref="N175">
    <cfRule type="expression" dxfId="3" priority="153" stopIfTrue="1">
      <formula>$N$175&lt;=(1-$B$164)/2</formula>
    </cfRule>
  </conditionalFormatting>
  <conditionalFormatting sqref="M176">
    <cfRule type="expression" dxfId="2" priority="154" stopIfTrue="1">
      <formula>$M$176&lt;=(1-$B$164)/2</formula>
    </cfRule>
  </conditionalFormatting>
  <conditionalFormatting sqref="N176">
    <cfRule type="expression" dxfId="1" priority="155" stopIfTrue="1">
      <formula>$N$176&lt;=(1-$B$164)/2</formula>
    </cfRule>
  </conditionalFormatting>
  <conditionalFormatting sqref="N177">
    <cfRule type="expression" dxfId="0" priority="156" stopIfTrue="1">
      <formula>$N$177&lt;=(1-$B$164)/2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tabSelected="1" workbookViewId="0">
      <selection activeCell="G71" sqref="G71"/>
    </sheetView>
  </sheetViews>
  <sheetFormatPr defaultRowHeight="15" x14ac:dyDescent="0.25"/>
  <cols>
    <col min="1" max="1" width="8.28515625" bestFit="1" customWidth="1"/>
    <col min="2" max="2" width="6.5703125" bestFit="1" customWidth="1"/>
    <col min="3" max="3" width="9.5703125" bestFit="1" customWidth="1"/>
    <col min="4" max="4" width="8.140625" bestFit="1" customWidth="1"/>
    <col min="5" max="5" width="6.5703125" bestFit="1" customWidth="1"/>
    <col min="6" max="6" width="5.5703125" bestFit="1" customWidth="1"/>
    <col min="7" max="7" width="7.42578125" bestFit="1" customWidth="1"/>
    <col min="8" max="10" width="5.5703125" bestFit="1" customWidth="1"/>
    <col min="11" max="11" width="4" bestFit="1" customWidth="1"/>
    <col min="12" max="12" width="6.5703125" bestFit="1" customWidth="1"/>
    <col min="13" max="13" width="7.28515625" bestFit="1" customWidth="1"/>
    <col min="15" max="15" width="5" customWidth="1"/>
    <col min="16" max="19" width="6" customWidth="1"/>
    <col min="20" max="25" width="5" customWidth="1"/>
  </cols>
  <sheetData>
    <row r="1" spans="1:25" x14ac:dyDescent="0.25">
      <c r="A1" t="s">
        <v>44</v>
      </c>
      <c r="B1">
        <v>1.3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>
        <v>2016</v>
      </c>
      <c r="M1" t="s">
        <v>54</v>
      </c>
      <c r="O1" t="s">
        <v>58</v>
      </c>
    </row>
    <row r="2" spans="1:25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 t="s">
        <v>13</v>
      </c>
      <c r="L2" t="s">
        <v>14</v>
      </c>
      <c r="O2" t="s">
        <v>17</v>
      </c>
      <c r="P2">
        <v>1</v>
      </c>
      <c r="Q2">
        <v>2</v>
      </c>
      <c r="R2">
        <v>3</v>
      </c>
      <c r="S2">
        <v>4</v>
      </c>
      <c r="T2">
        <v>5</v>
      </c>
      <c r="U2">
        <v>6</v>
      </c>
      <c r="V2">
        <v>7</v>
      </c>
      <c r="W2">
        <v>8</v>
      </c>
      <c r="X2">
        <v>9</v>
      </c>
      <c r="Y2" t="s">
        <v>13</v>
      </c>
    </row>
    <row r="3" spans="1:25" x14ac:dyDescent="0.25">
      <c r="A3">
        <v>1964</v>
      </c>
      <c r="B3" s="22">
        <v>6670</v>
      </c>
      <c r="C3" s="22">
        <v>3534</v>
      </c>
      <c r="D3" s="22">
        <v>2242</v>
      </c>
      <c r="E3">
        <v>483</v>
      </c>
      <c r="F3">
        <v>209</v>
      </c>
      <c r="G3">
        <v>406</v>
      </c>
      <c r="H3">
        <v>183</v>
      </c>
      <c r="I3">
        <v>59</v>
      </c>
      <c r="J3">
        <v>37</v>
      </c>
      <c r="K3">
        <v>225</v>
      </c>
      <c r="L3" s="22">
        <v>14048</v>
      </c>
      <c r="O3">
        <v>1964</v>
      </c>
      <c r="P3">
        <v>6.43</v>
      </c>
      <c r="Q3">
        <v>3.46</v>
      </c>
      <c r="R3">
        <v>2.19</v>
      </c>
      <c r="S3">
        <v>0.47</v>
      </c>
      <c r="T3">
        <v>0.2</v>
      </c>
      <c r="U3">
        <v>0.39</v>
      </c>
      <c r="V3">
        <v>0.18</v>
      </c>
      <c r="W3">
        <v>0.06</v>
      </c>
      <c r="X3">
        <v>0.04</v>
      </c>
      <c r="Y3">
        <v>0.22</v>
      </c>
    </row>
    <row r="4" spans="1:25" x14ac:dyDescent="0.25">
      <c r="A4">
        <v>1965</v>
      </c>
      <c r="B4" s="22">
        <v>21535</v>
      </c>
      <c r="C4" s="22">
        <v>2706</v>
      </c>
      <c r="D4" s="22">
        <v>2223</v>
      </c>
      <c r="E4" s="22">
        <v>1588</v>
      </c>
      <c r="F4">
        <v>304</v>
      </c>
      <c r="G4">
        <v>131</v>
      </c>
      <c r="H4">
        <v>256</v>
      </c>
      <c r="I4">
        <v>116</v>
      </c>
      <c r="J4">
        <v>38</v>
      </c>
      <c r="K4">
        <v>169</v>
      </c>
      <c r="L4" s="22">
        <v>29067</v>
      </c>
      <c r="O4">
        <v>1965</v>
      </c>
      <c r="P4">
        <v>21.16</v>
      </c>
      <c r="Q4">
        <v>2.61</v>
      </c>
      <c r="R4">
        <v>2.1800000000000002</v>
      </c>
      <c r="S4">
        <v>1.55</v>
      </c>
      <c r="T4">
        <v>0.28999999999999998</v>
      </c>
      <c r="U4">
        <v>0.13</v>
      </c>
      <c r="V4">
        <v>0.25</v>
      </c>
      <c r="W4">
        <v>0.11</v>
      </c>
      <c r="X4">
        <v>0.04</v>
      </c>
      <c r="Y4">
        <v>0.16</v>
      </c>
    </row>
    <row r="5" spans="1:25" x14ac:dyDescent="0.25">
      <c r="A5">
        <v>1966</v>
      </c>
      <c r="B5" s="22">
        <v>15437</v>
      </c>
      <c r="C5" s="22">
        <v>8737</v>
      </c>
      <c r="D5" s="22">
        <v>1702</v>
      </c>
      <c r="E5" s="22">
        <v>1563</v>
      </c>
      <c r="F5">
        <v>994</v>
      </c>
      <c r="G5">
        <v>192</v>
      </c>
      <c r="H5">
        <v>83</v>
      </c>
      <c r="I5">
        <v>163</v>
      </c>
      <c r="J5">
        <v>75</v>
      </c>
      <c r="K5">
        <v>134</v>
      </c>
      <c r="L5" s="22">
        <v>29079</v>
      </c>
      <c r="O5">
        <v>1966</v>
      </c>
      <c r="P5">
        <v>15.16</v>
      </c>
      <c r="Q5">
        <v>8.59</v>
      </c>
      <c r="R5">
        <v>1.64</v>
      </c>
      <c r="S5">
        <v>1.53</v>
      </c>
      <c r="T5">
        <v>0.96</v>
      </c>
      <c r="U5">
        <v>0.18</v>
      </c>
      <c r="V5">
        <v>0.08</v>
      </c>
      <c r="W5">
        <v>0.16</v>
      </c>
      <c r="X5">
        <v>7.0000000000000007E-2</v>
      </c>
      <c r="Y5">
        <v>0.13</v>
      </c>
    </row>
    <row r="6" spans="1:25" x14ac:dyDescent="0.25">
      <c r="A6">
        <v>1967</v>
      </c>
      <c r="B6" s="22">
        <v>25796</v>
      </c>
      <c r="C6" s="22">
        <v>6263</v>
      </c>
      <c r="D6" s="22">
        <v>5491</v>
      </c>
      <c r="E6" s="22">
        <v>1191</v>
      </c>
      <c r="F6">
        <v>994</v>
      </c>
      <c r="G6">
        <v>634</v>
      </c>
      <c r="H6">
        <v>123</v>
      </c>
      <c r="I6">
        <v>54</v>
      </c>
      <c r="J6">
        <v>106</v>
      </c>
      <c r="K6">
        <v>136</v>
      </c>
      <c r="L6" s="22">
        <v>40789</v>
      </c>
      <c r="O6">
        <v>1967</v>
      </c>
      <c r="P6">
        <v>25.65</v>
      </c>
      <c r="Q6">
        <v>6.15</v>
      </c>
      <c r="R6">
        <v>5.4</v>
      </c>
      <c r="S6">
        <v>1.1499999999999999</v>
      </c>
      <c r="T6">
        <v>0.97</v>
      </c>
      <c r="U6">
        <v>0.61</v>
      </c>
      <c r="V6">
        <v>0.12</v>
      </c>
      <c r="W6">
        <v>0.05</v>
      </c>
      <c r="X6">
        <v>0.1</v>
      </c>
      <c r="Y6">
        <v>0.13</v>
      </c>
    </row>
    <row r="7" spans="1:25" x14ac:dyDescent="0.25">
      <c r="A7">
        <v>1968</v>
      </c>
      <c r="B7" s="22">
        <v>22271</v>
      </c>
      <c r="C7" s="22">
        <v>10448</v>
      </c>
      <c r="D7" s="22">
        <v>3883</v>
      </c>
      <c r="E7" s="22">
        <v>3593</v>
      </c>
      <c r="F7">
        <v>698</v>
      </c>
      <c r="G7">
        <v>582</v>
      </c>
      <c r="H7">
        <v>373</v>
      </c>
      <c r="I7">
        <v>73</v>
      </c>
      <c r="J7">
        <v>32</v>
      </c>
      <c r="K7">
        <v>144</v>
      </c>
      <c r="L7" s="22">
        <v>42097</v>
      </c>
      <c r="O7">
        <v>1968</v>
      </c>
      <c r="P7">
        <v>22.19</v>
      </c>
      <c r="Q7">
        <v>10.39</v>
      </c>
      <c r="R7">
        <v>3.81</v>
      </c>
      <c r="S7">
        <v>3.52</v>
      </c>
      <c r="T7">
        <v>0.67</v>
      </c>
      <c r="U7">
        <v>0.56000000000000005</v>
      </c>
      <c r="V7">
        <v>0.36</v>
      </c>
      <c r="W7">
        <v>7.0000000000000007E-2</v>
      </c>
      <c r="X7">
        <v>0.03</v>
      </c>
      <c r="Y7">
        <v>0.14000000000000001</v>
      </c>
    </row>
    <row r="8" spans="1:25" x14ac:dyDescent="0.25">
      <c r="A8">
        <v>1969</v>
      </c>
      <c r="B8" s="22">
        <v>26141</v>
      </c>
      <c r="C8" s="22">
        <v>9015</v>
      </c>
      <c r="D8" s="22">
        <v>6455</v>
      </c>
      <c r="E8" s="22">
        <v>2536</v>
      </c>
      <c r="F8" s="22">
        <v>2103</v>
      </c>
      <c r="G8">
        <v>411</v>
      </c>
      <c r="H8">
        <v>345</v>
      </c>
      <c r="I8">
        <v>222</v>
      </c>
      <c r="J8">
        <v>43</v>
      </c>
      <c r="K8">
        <v>105</v>
      </c>
      <c r="L8" s="22">
        <v>47377</v>
      </c>
      <c r="O8">
        <v>1969</v>
      </c>
      <c r="P8">
        <v>26.18</v>
      </c>
      <c r="Q8">
        <v>8.98</v>
      </c>
      <c r="R8">
        <v>6.42</v>
      </c>
      <c r="S8">
        <v>2.4900000000000002</v>
      </c>
      <c r="T8">
        <v>2.04</v>
      </c>
      <c r="U8">
        <v>0.39</v>
      </c>
      <c r="V8">
        <v>0.33</v>
      </c>
      <c r="W8">
        <v>0.21</v>
      </c>
      <c r="X8">
        <v>0.04</v>
      </c>
      <c r="Y8">
        <v>0.1</v>
      </c>
    </row>
    <row r="9" spans="1:25" x14ac:dyDescent="0.25">
      <c r="A9">
        <v>1970</v>
      </c>
      <c r="B9" s="22">
        <v>23500</v>
      </c>
      <c r="C9" s="22">
        <v>10572</v>
      </c>
      <c r="D9" s="22">
        <v>5546</v>
      </c>
      <c r="E9" s="22">
        <v>4094</v>
      </c>
      <c r="F9" s="22">
        <v>1500</v>
      </c>
      <c r="G9" s="22">
        <v>1250</v>
      </c>
      <c r="H9">
        <v>246</v>
      </c>
      <c r="I9">
        <v>206</v>
      </c>
      <c r="J9">
        <v>131</v>
      </c>
      <c r="K9">
        <v>87</v>
      </c>
      <c r="L9" s="22">
        <v>47133</v>
      </c>
      <c r="O9">
        <v>1970</v>
      </c>
      <c r="P9">
        <v>23.52</v>
      </c>
      <c r="Q9">
        <v>10.59</v>
      </c>
      <c r="R9">
        <v>5.52</v>
      </c>
      <c r="S9">
        <v>4.0599999999999996</v>
      </c>
      <c r="T9">
        <v>1.46</v>
      </c>
      <c r="U9">
        <v>1.21</v>
      </c>
      <c r="V9">
        <v>0.23</v>
      </c>
      <c r="W9">
        <v>0.2</v>
      </c>
      <c r="X9">
        <v>0.12</v>
      </c>
      <c r="Y9">
        <v>0.08</v>
      </c>
    </row>
    <row r="10" spans="1:25" x14ac:dyDescent="0.25">
      <c r="A10">
        <v>1971</v>
      </c>
      <c r="B10" s="22">
        <v>14578</v>
      </c>
      <c r="C10" s="22">
        <v>9468</v>
      </c>
      <c r="D10" s="22">
        <v>6356</v>
      </c>
      <c r="E10" s="22">
        <v>3312</v>
      </c>
      <c r="F10" s="22">
        <v>2351</v>
      </c>
      <c r="G10">
        <v>840</v>
      </c>
      <c r="H10">
        <v>701</v>
      </c>
      <c r="I10">
        <v>136</v>
      </c>
      <c r="J10">
        <v>110</v>
      </c>
      <c r="K10">
        <v>114</v>
      </c>
      <c r="L10" s="22">
        <v>37967</v>
      </c>
      <c r="O10">
        <v>1971</v>
      </c>
      <c r="P10">
        <v>14.46</v>
      </c>
      <c r="Q10">
        <v>9.4700000000000006</v>
      </c>
      <c r="R10">
        <v>6.36</v>
      </c>
      <c r="S10">
        <v>3.29</v>
      </c>
      <c r="T10">
        <v>2.3199999999999998</v>
      </c>
      <c r="U10">
        <v>0.81</v>
      </c>
      <c r="V10">
        <v>0.67</v>
      </c>
      <c r="W10">
        <v>0.13</v>
      </c>
      <c r="X10">
        <v>0.1</v>
      </c>
      <c r="Y10">
        <v>0.1</v>
      </c>
    </row>
    <row r="11" spans="1:25" x14ac:dyDescent="0.25">
      <c r="A11">
        <v>1972</v>
      </c>
      <c r="B11" s="22">
        <v>11964</v>
      </c>
      <c r="C11" s="22">
        <v>5851</v>
      </c>
      <c r="D11" s="22">
        <v>5550</v>
      </c>
      <c r="E11" s="22">
        <v>3570</v>
      </c>
      <c r="F11" s="22">
        <v>1747</v>
      </c>
      <c r="G11" s="22">
        <v>1178</v>
      </c>
      <c r="H11">
        <v>424</v>
      </c>
      <c r="I11">
        <v>351</v>
      </c>
      <c r="J11">
        <v>64</v>
      </c>
      <c r="K11">
        <v>100</v>
      </c>
      <c r="L11" s="22">
        <v>30800</v>
      </c>
      <c r="O11">
        <v>1972</v>
      </c>
      <c r="P11">
        <v>11.83</v>
      </c>
      <c r="Q11">
        <v>5.8</v>
      </c>
      <c r="R11">
        <v>5.55</v>
      </c>
      <c r="S11">
        <v>3.57</v>
      </c>
      <c r="T11">
        <v>1.73</v>
      </c>
      <c r="U11">
        <v>1.1499999999999999</v>
      </c>
      <c r="V11">
        <v>0.4</v>
      </c>
      <c r="W11">
        <v>0.33</v>
      </c>
      <c r="X11">
        <v>0.06</v>
      </c>
      <c r="Y11">
        <v>0.09</v>
      </c>
    </row>
    <row r="12" spans="1:25" x14ac:dyDescent="0.25">
      <c r="A12">
        <v>1973</v>
      </c>
      <c r="B12" s="22">
        <v>26909</v>
      </c>
      <c r="C12" s="22">
        <v>4808</v>
      </c>
      <c r="D12" s="22">
        <v>3324</v>
      </c>
      <c r="E12" s="22">
        <v>2898</v>
      </c>
      <c r="F12" s="22">
        <v>1744</v>
      </c>
      <c r="G12">
        <v>839</v>
      </c>
      <c r="H12">
        <v>567</v>
      </c>
      <c r="I12">
        <v>203</v>
      </c>
      <c r="J12">
        <v>158</v>
      </c>
      <c r="K12">
        <v>69</v>
      </c>
      <c r="L12" s="22">
        <v>41519</v>
      </c>
      <c r="O12">
        <v>1973</v>
      </c>
      <c r="P12">
        <v>26.95</v>
      </c>
      <c r="Q12">
        <v>4.75</v>
      </c>
      <c r="R12">
        <v>3.3</v>
      </c>
      <c r="S12">
        <v>2.89</v>
      </c>
      <c r="T12">
        <v>1.73</v>
      </c>
      <c r="U12">
        <v>0.82</v>
      </c>
      <c r="V12">
        <v>0.55000000000000004</v>
      </c>
      <c r="W12">
        <v>0.19</v>
      </c>
      <c r="X12">
        <v>0.15</v>
      </c>
      <c r="Y12">
        <v>0.06</v>
      </c>
    </row>
    <row r="13" spans="1:25" x14ac:dyDescent="0.25">
      <c r="A13">
        <v>1974</v>
      </c>
      <c r="B13" s="22">
        <v>19909</v>
      </c>
      <c r="C13" s="22">
        <v>10829</v>
      </c>
      <c r="D13" s="22">
        <v>2649</v>
      </c>
      <c r="E13" s="22">
        <v>1612</v>
      </c>
      <c r="F13" s="22">
        <v>1306</v>
      </c>
      <c r="G13">
        <v>773</v>
      </c>
      <c r="H13">
        <v>372</v>
      </c>
      <c r="I13">
        <v>251</v>
      </c>
      <c r="J13">
        <v>85</v>
      </c>
      <c r="K13">
        <v>91</v>
      </c>
      <c r="L13" s="22">
        <v>37877</v>
      </c>
      <c r="O13">
        <v>1974</v>
      </c>
      <c r="P13">
        <v>19.77</v>
      </c>
      <c r="Q13">
        <v>10.85</v>
      </c>
      <c r="R13">
        <v>2.62</v>
      </c>
      <c r="S13">
        <v>1.59</v>
      </c>
      <c r="T13">
        <v>1.29</v>
      </c>
      <c r="U13">
        <v>0.76</v>
      </c>
      <c r="V13">
        <v>0.36</v>
      </c>
      <c r="W13">
        <v>0.24</v>
      </c>
      <c r="X13">
        <v>0.08</v>
      </c>
      <c r="Y13">
        <v>0.08</v>
      </c>
    </row>
    <row r="14" spans="1:25" x14ac:dyDescent="0.25">
      <c r="A14">
        <v>1975</v>
      </c>
      <c r="B14" s="22">
        <v>17094</v>
      </c>
      <c r="C14" s="22">
        <v>8023</v>
      </c>
      <c r="D14" s="22">
        <v>5763</v>
      </c>
      <c r="E14" s="22">
        <v>1144</v>
      </c>
      <c r="F14">
        <v>691</v>
      </c>
      <c r="G14">
        <v>558</v>
      </c>
      <c r="H14">
        <v>331</v>
      </c>
      <c r="I14">
        <v>159</v>
      </c>
      <c r="J14">
        <v>102</v>
      </c>
      <c r="K14">
        <v>68</v>
      </c>
      <c r="L14" s="22">
        <v>33934</v>
      </c>
      <c r="O14">
        <v>1975</v>
      </c>
      <c r="P14">
        <v>16.77</v>
      </c>
      <c r="Q14">
        <v>7.97</v>
      </c>
      <c r="R14">
        <v>5.76</v>
      </c>
      <c r="S14">
        <v>1.1200000000000001</v>
      </c>
      <c r="T14">
        <v>0.67</v>
      </c>
      <c r="U14">
        <v>0.54</v>
      </c>
      <c r="V14">
        <v>0.32</v>
      </c>
      <c r="W14">
        <v>0.15</v>
      </c>
      <c r="X14">
        <v>0.1</v>
      </c>
      <c r="Y14">
        <v>0.06</v>
      </c>
    </row>
    <row r="15" spans="1:25" x14ac:dyDescent="0.25">
      <c r="A15">
        <v>1976</v>
      </c>
      <c r="B15" s="22">
        <v>13138</v>
      </c>
      <c r="C15" s="22">
        <v>6909</v>
      </c>
      <c r="D15" s="22">
        <v>4528</v>
      </c>
      <c r="E15" s="22">
        <v>2610</v>
      </c>
      <c r="F15">
        <v>527</v>
      </c>
      <c r="G15">
        <v>322</v>
      </c>
      <c r="H15">
        <v>262</v>
      </c>
      <c r="I15">
        <v>155</v>
      </c>
      <c r="J15">
        <v>73</v>
      </c>
      <c r="K15">
        <v>75</v>
      </c>
      <c r="L15" s="22">
        <v>28599</v>
      </c>
      <c r="O15">
        <v>1976</v>
      </c>
      <c r="P15">
        <v>12.9</v>
      </c>
      <c r="Q15">
        <v>6.78</v>
      </c>
      <c r="R15">
        <v>4.49</v>
      </c>
      <c r="S15">
        <v>2.59</v>
      </c>
      <c r="T15">
        <v>0.51</v>
      </c>
      <c r="U15">
        <v>0.31</v>
      </c>
      <c r="V15">
        <v>0.25</v>
      </c>
      <c r="W15">
        <v>0.15</v>
      </c>
      <c r="X15">
        <v>7.0000000000000007E-2</v>
      </c>
      <c r="Y15">
        <v>7.0000000000000007E-2</v>
      </c>
    </row>
    <row r="16" spans="1:25" x14ac:dyDescent="0.25">
      <c r="A16">
        <v>1977</v>
      </c>
      <c r="B16" s="22">
        <v>13755</v>
      </c>
      <c r="C16" s="22">
        <v>5318</v>
      </c>
      <c r="D16" s="22">
        <v>3990</v>
      </c>
      <c r="E16" s="22">
        <v>2256</v>
      </c>
      <c r="F16" s="22">
        <v>1234</v>
      </c>
      <c r="G16">
        <v>254</v>
      </c>
      <c r="H16">
        <v>156</v>
      </c>
      <c r="I16">
        <v>128</v>
      </c>
      <c r="J16">
        <v>75</v>
      </c>
      <c r="K16">
        <v>69</v>
      </c>
      <c r="L16" s="22">
        <v>27236</v>
      </c>
      <c r="O16">
        <v>1977</v>
      </c>
      <c r="P16">
        <v>13.38</v>
      </c>
      <c r="Q16">
        <v>5.22</v>
      </c>
      <c r="R16">
        <v>3.91</v>
      </c>
      <c r="S16">
        <v>2.2200000000000002</v>
      </c>
      <c r="T16">
        <v>1.21</v>
      </c>
      <c r="U16">
        <v>0.24</v>
      </c>
      <c r="V16">
        <v>0.15</v>
      </c>
      <c r="W16">
        <v>0.12</v>
      </c>
      <c r="X16">
        <v>7.0000000000000007E-2</v>
      </c>
      <c r="Y16">
        <v>0.06</v>
      </c>
    </row>
    <row r="17" spans="1:25" x14ac:dyDescent="0.25">
      <c r="A17">
        <v>1978</v>
      </c>
      <c r="B17" s="22">
        <v>25352</v>
      </c>
      <c r="C17" s="22">
        <v>5575</v>
      </c>
      <c r="D17" s="22">
        <v>3108</v>
      </c>
      <c r="E17" s="22">
        <v>2186</v>
      </c>
      <c r="F17" s="22">
        <v>1154</v>
      </c>
      <c r="G17">
        <v>619</v>
      </c>
      <c r="H17">
        <v>128</v>
      </c>
      <c r="I17">
        <v>79</v>
      </c>
      <c r="J17">
        <v>65</v>
      </c>
      <c r="K17">
        <v>71</v>
      </c>
      <c r="L17" s="22">
        <v>38337</v>
      </c>
      <c r="O17">
        <v>1978</v>
      </c>
      <c r="P17">
        <v>24.61</v>
      </c>
      <c r="Q17">
        <v>5.42</v>
      </c>
      <c r="R17">
        <v>3.05</v>
      </c>
      <c r="S17">
        <v>2.13</v>
      </c>
      <c r="T17">
        <v>1.1200000000000001</v>
      </c>
      <c r="U17">
        <v>0.6</v>
      </c>
      <c r="V17">
        <v>0.12</v>
      </c>
      <c r="W17">
        <v>7.0000000000000007E-2</v>
      </c>
      <c r="X17">
        <v>0.06</v>
      </c>
      <c r="Y17">
        <v>0.06</v>
      </c>
    </row>
    <row r="18" spans="1:25" x14ac:dyDescent="0.25">
      <c r="A18">
        <v>1979</v>
      </c>
      <c r="B18" s="22">
        <v>61943</v>
      </c>
      <c r="C18" s="22">
        <v>10281</v>
      </c>
      <c r="D18" s="22">
        <v>3283</v>
      </c>
      <c r="E18" s="22">
        <v>1700</v>
      </c>
      <c r="F18" s="22">
        <v>1111</v>
      </c>
      <c r="G18">
        <v>560</v>
      </c>
      <c r="H18">
        <v>302</v>
      </c>
      <c r="I18">
        <v>63</v>
      </c>
      <c r="J18">
        <v>39</v>
      </c>
      <c r="K18">
        <v>64</v>
      </c>
      <c r="L18" s="22">
        <v>79344</v>
      </c>
      <c r="O18">
        <v>1979</v>
      </c>
      <c r="P18">
        <v>59.44</v>
      </c>
      <c r="Q18">
        <v>9.98</v>
      </c>
      <c r="R18">
        <v>3.19</v>
      </c>
      <c r="S18">
        <v>1.65</v>
      </c>
      <c r="T18">
        <v>1.07</v>
      </c>
      <c r="U18">
        <v>0.54</v>
      </c>
      <c r="V18">
        <v>0.28999999999999998</v>
      </c>
      <c r="W18">
        <v>0.06</v>
      </c>
      <c r="X18">
        <v>0.04</v>
      </c>
      <c r="Y18">
        <v>0.06</v>
      </c>
    </row>
    <row r="19" spans="1:25" x14ac:dyDescent="0.25">
      <c r="A19">
        <v>1980</v>
      </c>
      <c r="B19" s="22">
        <v>27184</v>
      </c>
      <c r="C19" s="22">
        <v>25131</v>
      </c>
      <c r="D19" s="22">
        <v>6215</v>
      </c>
      <c r="E19" s="22">
        <v>1891</v>
      </c>
      <c r="F19">
        <v>885</v>
      </c>
      <c r="G19">
        <v>526</v>
      </c>
      <c r="H19">
        <v>262</v>
      </c>
      <c r="I19">
        <v>142</v>
      </c>
      <c r="J19">
        <v>29</v>
      </c>
      <c r="K19">
        <v>47</v>
      </c>
      <c r="L19" s="22">
        <v>62313</v>
      </c>
      <c r="O19">
        <v>1980</v>
      </c>
      <c r="P19">
        <v>26.54</v>
      </c>
      <c r="Q19">
        <v>24.11</v>
      </c>
      <c r="R19">
        <v>6.02</v>
      </c>
      <c r="S19">
        <v>1.82</v>
      </c>
      <c r="T19">
        <v>0.85</v>
      </c>
      <c r="U19">
        <v>0.49</v>
      </c>
      <c r="V19">
        <v>0.24</v>
      </c>
      <c r="W19">
        <v>0.13</v>
      </c>
      <c r="X19">
        <v>0.03</v>
      </c>
      <c r="Y19">
        <v>0.04</v>
      </c>
    </row>
    <row r="20" spans="1:25" x14ac:dyDescent="0.25">
      <c r="A20">
        <v>1981</v>
      </c>
      <c r="B20" s="22">
        <v>30738</v>
      </c>
      <c r="C20" s="22">
        <v>11036</v>
      </c>
      <c r="D20" s="22">
        <v>15585</v>
      </c>
      <c r="E20" s="22">
        <v>3908</v>
      </c>
      <c r="F20" s="22">
        <v>1013</v>
      </c>
      <c r="G20">
        <v>428</v>
      </c>
      <c r="H20">
        <v>248</v>
      </c>
      <c r="I20">
        <v>125</v>
      </c>
      <c r="J20">
        <v>68</v>
      </c>
      <c r="K20">
        <v>36</v>
      </c>
      <c r="L20" s="22">
        <v>63186</v>
      </c>
      <c r="O20">
        <v>1981</v>
      </c>
      <c r="P20">
        <v>30.73</v>
      </c>
      <c r="Q20">
        <v>10.77</v>
      </c>
      <c r="R20">
        <v>14.94</v>
      </c>
      <c r="S20">
        <v>3.77</v>
      </c>
      <c r="T20">
        <v>0.96</v>
      </c>
      <c r="U20">
        <v>0.4</v>
      </c>
      <c r="V20">
        <v>0.22</v>
      </c>
      <c r="W20">
        <v>0.11</v>
      </c>
      <c r="X20">
        <v>0.06</v>
      </c>
      <c r="Y20">
        <v>0.03</v>
      </c>
    </row>
    <row r="21" spans="1:25" x14ac:dyDescent="0.25">
      <c r="A21">
        <v>1982</v>
      </c>
      <c r="B21" s="22">
        <v>16305</v>
      </c>
      <c r="C21" s="22">
        <v>12486</v>
      </c>
      <c r="D21" s="22">
        <v>6934</v>
      </c>
      <c r="E21" s="22">
        <v>10619</v>
      </c>
      <c r="F21" s="22">
        <v>2329</v>
      </c>
      <c r="G21">
        <v>541</v>
      </c>
      <c r="H21">
        <v>227</v>
      </c>
      <c r="I21">
        <v>132</v>
      </c>
      <c r="J21">
        <v>66</v>
      </c>
      <c r="K21">
        <v>55</v>
      </c>
      <c r="L21" s="22">
        <v>49695</v>
      </c>
      <c r="O21">
        <v>1982</v>
      </c>
      <c r="P21">
        <v>16.899999999999999</v>
      </c>
      <c r="Q21">
        <v>12.48</v>
      </c>
      <c r="R21">
        <v>6.77</v>
      </c>
      <c r="S21">
        <v>10.15</v>
      </c>
      <c r="T21">
        <v>2.2200000000000002</v>
      </c>
      <c r="U21">
        <v>0.5</v>
      </c>
      <c r="V21">
        <v>0.2</v>
      </c>
      <c r="W21">
        <v>0.12</v>
      </c>
      <c r="X21">
        <v>0.06</v>
      </c>
      <c r="Y21">
        <v>0.05</v>
      </c>
    </row>
    <row r="22" spans="1:25" x14ac:dyDescent="0.25">
      <c r="A22">
        <v>1983</v>
      </c>
      <c r="B22" s="22">
        <v>52162</v>
      </c>
      <c r="C22" s="22">
        <v>6626</v>
      </c>
      <c r="D22" s="22">
        <v>7895</v>
      </c>
      <c r="E22" s="22">
        <v>4938</v>
      </c>
      <c r="F22" s="22">
        <v>6913</v>
      </c>
      <c r="G22" s="22">
        <v>1400</v>
      </c>
      <c r="H22">
        <v>320</v>
      </c>
      <c r="I22">
        <v>135</v>
      </c>
      <c r="J22">
        <v>78</v>
      </c>
      <c r="K22">
        <v>71</v>
      </c>
      <c r="L22" s="22">
        <v>80539</v>
      </c>
      <c r="O22">
        <v>1983</v>
      </c>
      <c r="P22">
        <v>50.85</v>
      </c>
      <c r="Q22">
        <v>6.87</v>
      </c>
      <c r="R22">
        <v>7.89</v>
      </c>
      <c r="S22">
        <v>4.8099999999999996</v>
      </c>
      <c r="T22">
        <v>6.57</v>
      </c>
      <c r="U22">
        <v>1.31</v>
      </c>
      <c r="V22">
        <v>0.28999999999999998</v>
      </c>
      <c r="W22">
        <v>0.12</v>
      </c>
      <c r="X22">
        <v>7.0000000000000007E-2</v>
      </c>
      <c r="Y22">
        <v>0.06</v>
      </c>
    </row>
    <row r="23" spans="1:25" x14ac:dyDescent="0.25">
      <c r="A23">
        <v>1984</v>
      </c>
      <c r="B23" s="22">
        <v>13573</v>
      </c>
      <c r="C23" s="22">
        <v>21200</v>
      </c>
      <c r="D23" s="22">
        <v>4193</v>
      </c>
      <c r="E23" s="22">
        <v>5678</v>
      </c>
      <c r="F23" s="22">
        <v>3340</v>
      </c>
      <c r="G23" s="22">
        <v>4387</v>
      </c>
      <c r="H23">
        <v>855</v>
      </c>
      <c r="I23">
        <v>196</v>
      </c>
      <c r="J23">
        <v>82</v>
      </c>
      <c r="K23">
        <v>90</v>
      </c>
      <c r="L23" s="22">
        <v>53593</v>
      </c>
      <c r="O23">
        <v>1984</v>
      </c>
      <c r="P23">
        <v>14.31</v>
      </c>
      <c r="Q23">
        <v>20.67</v>
      </c>
      <c r="R23">
        <v>4.3499999999999996</v>
      </c>
      <c r="S23">
        <v>5.67</v>
      </c>
      <c r="T23">
        <v>3.24</v>
      </c>
      <c r="U23">
        <v>4.13</v>
      </c>
      <c r="V23">
        <v>0.79</v>
      </c>
      <c r="W23">
        <v>0.17</v>
      </c>
      <c r="X23">
        <v>7.0000000000000007E-2</v>
      </c>
      <c r="Y23">
        <v>0.08</v>
      </c>
    </row>
    <row r="24" spans="1:25" x14ac:dyDescent="0.25">
      <c r="A24">
        <v>1985</v>
      </c>
      <c r="B24" s="22">
        <v>34632</v>
      </c>
      <c r="C24" s="22">
        <v>5517</v>
      </c>
      <c r="D24" s="22">
        <v>13436</v>
      </c>
      <c r="E24" s="22">
        <v>3017</v>
      </c>
      <c r="F24" s="22">
        <v>3881</v>
      </c>
      <c r="G24" s="22">
        <v>2113</v>
      </c>
      <c r="H24" s="22">
        <v>2704</v>
      </c>
      <c r="I24">
        <v>522</v>
      </c>
      <c r="J24">
        <v>120</v>
      </c>
      <c r="K24">
        <v>104</v>
      </c>
      <c r="L24" s="22">
        <v>66045</v>
      </c>
      <c r="O24">
        <v>1985</v>
      </c>
      <c r="P24">
        <v>34.42</v>
      </c>
      <c r="Q24">
        <v>5.82</v>
      </c>
      <c r="R24">
        <v>13.1</v>
      </c>
      <c r="S24">
        <v>3.13</v>
      </c>
      <c r="T24">
        <v>3.87</v>
      </c>
      <c r="U24">
        <v>2.0299999999999998</v>
      </c>
      <c r="V24">
        <v>2.52</v>
      </c>
      <c r="W24">
        <v>0.48</v>
      </c>
      <c r="X24">
        <v>0.11</v>
      </c>
      <c r="Y24">
        <v>0.09</v>
      </c>
    </row>
    <row r="25" spans="1:25" x14ac:dyDescent="0.25">
      <c r="A25">
        <v>1986</v>
      </c>
      <c r="B25" s="22">
        <v>14545</v>
      </c>
      <c r="C25" s="22">
        <v>14077</v>
      </c>
      <c r="D25" s="22">
        <v>3496</v>
      </c>
      <c r="E25" s="22">
        <v>9644</v>
      </c>
      <c r="F25" s="22">
        <v>2079</v>
      </c>
      <c r="G25" s="22">
        <v>2533</v>
      </c>
      <c r="H25" s="22">
        <v>1282</v>
      </c>
      <c r="I25" s="22">
        <v>1645</v>
      </c>
      <c r="J25">
        <v>318</v>
      </c>
      <c r="K25">
        <v>134</v>
      </c>
      <c r="L25" s="22">
        <v>49752</v>
      </c>
      <c r="O25">
        <v>1986</v>
      </c>
      <c r="P25">
        <v>14.22</v>
      </c>
      <c r="Q25">
        <v>13.99</v>
      </c>
      <c r="R25">
        <v>3.69</v>
      </c>
      <c r="S25">
        <v>9.4</v>
      </c>
      <c r="T25">
        <v>2.15</v>
      </c>
      <c r="U25">
        <v>2.5099999999999998</v>
      </c>
      <c r="V25">
        <v>1.22</v>
      </c>
      <c r="W25">
        <v>1.52</v>
      </c>
      <c r="X25">
        <v>0.28999999999999998</v>
      </c>
      <c r="Y25">
        <v>0.11</v>
      </c>
    </row>
    <row r="26" spans="1:25" x14ac:dyDescent="0.25">
      <c r="A26">
        <v>1987</v>
      </c>
      <c r="B26" s="22">
        <v>7835</v>
      </c>
      <c r="C26" s="22">
        <v>5912</v>
      </c>
      <c r="D26" s="22">
        <v>8925</v>
      </c>
      <c r="E26" s="22">
        <v>2509</v>
      </c>
      <c r="F26" s="22">
        <v>6610</v>
      </c>
      <c r="G26" s="22">
        <v>1375</v>
      </c>
      <c r="H26" s="22">
        <v>1572</v>
      </c>
      <c r="I26">
        <v>790</v>
      </c>
      <c r="J26" s="22">
        <v>1026</v>
      </c>
      <c r="K26">
        <v>275</v>
      </c>
      <c r="L26" s="22">
        <v>36830</v>
      </c>
      <c r="O26">
        <v>1987</v>
      </c>
      <c r="P26">
        <v>7.65</v>
      </c>
      <c r="Q26">
        <v>5.78</v>
      </c>
      <c r="R26">
        <v>8.8699999999999992</v>
      </c>
      <c r="S26">
        <v>2.65</v>
      </c>
      <c r="T26">
        <v>6.44</v>
      </c>
      <c r="U26">
        <v>1.42</v>
      </c>
      <c r="V26">
        <v>1.54</v>
      </c>
      <c r="W26">
        <v>0.74</v>
      </c>
      <c r="X26">
        <v>0.94</v>
      </c>
      <c r="Y26">
        <v>0.24</v>
      </c>
    </row>
    <row r="27" spans="1:25" x14ac:dyDescent="0.25">
      <c r="A27">
        <v>1988</v>
      </c>
      <c r="B27" s="22">
        <v>5561</v>
      </c>
      <c r="C27" s="22">
        <v>3185</v>
      </c>
      <c r="D27" s="22">
        <v>3756</v>
      </c>
      <c r="E27" s="22">
        <v>6446</v>
      </c>
      <c r="F27" s="22">
        <v>1765</v>
      </c>
      <c r="G27" s="22">
        <v>4510</v>
      </c>
      <c r="H27">
        <v>905</v>
      </c>
      <c r="I27" s="22">
        <v>1030</v>
      </c>
      <c r="J27">
        <v>508</v>
      </c>
      <c r="K27">
        <v>829</v>
      </c>
      <c r="L27" s="22">
        <v>28496</v>
      </c>
      <c r="O27">
        <v>1988</v>
      </c>
      <c r="P27">
        <v>5.75</v>
      </c>
      <c r="Q27">
        <v>3.11</v>
      </c>
      <c r="R27">
        <v>3.67</v>
      </c>
      <c r="S27">
        <v>6.41</v>
      </c>
      <c r="T27">
        <v>1.86</v>
      </c>
      <c r="U27">
        <v>4.3899999999999997</v>
      </c>
      <c r="V27">
        <v>0.93</v>
      </c>
      <c r="W27">
        <v>1</v>
      </c>
      <c r="X27">
        <v>0.47</v>
      </c>
      <c r="Y27">
        <v>0.75</v>
      </c>
    </row>
    <row r="28" spans="1:25" x14ac:dyDescent="0.25">
      <c r="A28">
        <v>1989</v>
      </c>
      <c r="B28" s="22">
        <v>11103</v>
      </c>
      <c r="C28" s="22">
        <v>2261</v>
      </c>
      <c r="D28" s="22">
        <v>2021</v>
      </c>
      <c r="E28" s="22">
        <v>2628</v>
      </c>
      <c r="F28" s="22">
        <v>4432</v>
      </c>
      <c r="G28" s="22">
        <v>1149</v>
      </c>
      <c r="H28" s="22">
        <v>2868</v>
      </c>
      <c r="I28">
        <v>555</v>
      </c>
      <c r="J28">
        <v>636</v>
      </c>
      <c r="K28">
        <v>820</v>
      </c>
      <c r="L28" s="22">
        <v>28472</v>
      </c>
      <c r="O28">
        <v>1989</v>
      </c>
      <c r="P28">
        <v>11.05</v>
      </c>
      <c r="Q28">
        <v>2.34</v>
      </c>
      <c r="R28">
        <v>1.97</v>
      </c>
      <c r="S28">
        <v>2.57</v>
      </c>
      <c r="T28">
        <v>4.41</v>
      </c>
      <c r="U28">
        <v>1.21</v>
      </c>
      <c r="V28">
        <v>2.78</v>
      </c>
      <c r="W28">
        <v>0.56000000000000005</v>
      </c>
      <c r="X28">
        <v>0.62</v>
      </c>
      <c r="Y28">
        <v>0.74</v>
      </c>
    </row>
    <row r="29" spans="1:25" x14ac:dyDescent="0.25">
      <c r="A29">
        <v>1990</v>
      </c>
      <c r="B29" s="22">
        <v>48848</v>
      </c>
      <c r="C29" s="22">
        <v>4513</v>
      </c>
      <c r="D29" s="22">
        <v>1435</v>
      </c>
      <c r="E29" s="22">
        <v>1436</v>
      </c>
      <c r="F29" s="22">
        <v>1780</v>
      </c>
      <c r="G29" s="22">
        <v>2873</v>
      </c>
      <c r="H29">
        <v>721</v>
      </c>
      <c r="I29" s="22">
        <v>1723</v>
      </c>
      <c r="J29">
        <v>337</v>
      </c>
      <c r="K29">
        <v>896</v>
      </c>
      <c r="L29" s="22">
        <v>64563</v>
      </c>
      <c r="O29">
        <v>1990</v>
      </c>
      <c r="P29">
        <v>48.53</v>
      </c>
      <c r="Q29">
        <v>4.49</v>
      </c>
      <c r="R29">
        <v>1.48</v>
      </c>
      <c r="S29">
        <v>1.4</v>
      </c>
      <c r="T29">
        <v>1.74</v>
      </c>
      <c r="U29">
        <v>2.86</v>
      </c>
      <c r="V29">
        <v>0.76</v>
      </c>
      <c r="W29">
        <v>1.66</v>
      </c>
      <c r="X29">
        <v>0.34</v>
      </c>
      <c r="Y29">
        <v>0.83</v>
      </c>
    </row>
    <row r="30" spans="1:25" x14ac:dyDescent="0.25">
      <c r="A30">
        <v>1991</v>
      </c>
      <c r="B30" s="22">
        <v>25581</v>
      </c>
      <c r="C30" s="22">
        <v>19857</v>
      </c>
      <c r="D30" s="22">
        <v>2859</v>
      </c>
      <c r="E30" s="22">
        <v>1015</v>
      </c>
      <c r="F30">
        <v>926</v>
      </c>
      <c r="G30" s="22">
        <v>1050</v>
      </c>
      <c r="H30" s="22">
        <v>1658</v>
      </c>
      <c r="I30">
        <v>404</v>
      </c>
      <c r="J30">
        <v>959</v>
      </c>
      <c r="K30">
        <v>700</v>
      </c>
      <c r="L30" s="22">
        <v>55009</v>
      </c>
      <c r="O30">
        <v>1991</v>
      </c>
      <c r="P30">
        <v>25.25</v>
      </c>
      <c r="Q30">
        <v>19.73</v>
      </c>
      <c r="R30">
        <v>2.85</v>
      </c>
      <c r="S30">
        <v>1.05</v>
      </c>
      <c r="T30">
        <v>0.91</v>
      </c>
      <c r="U30">
        <v>1.03</v>
      </c>
      <c r="V30">
        <v>1.64</v>
      </c>
      <c r="W30">
        <v>0.42</v>
      </c>
      <c r="X30">
        <v>0.91</v>
      </c>
      <c r="Y30">
        <v>0.66</v>
      </c>
    </row>
    <row r="31" spans="1:25" x14ac:dyDescent="0.25">
      <c r="A31">
        <v>1992</v>
      </c>
      <c r="B31" s="22">
        <v>22781</v>
      </c>
      <c r="C31" s="22">
        <v>10399</v>
      </c>
      <c r="D31" s="22">
        <v>12572</v>
      </c>
      <c r="E31" s="22">
        <v>2042</v>
      </c>
      <c r="F31">
        <v>670</v>
      </c>
      <c r="G31">
        <v>559</v>
      </c>
      <c r="H31">
        <v>604</v>
      </c>
      <c r="I31">
        <v>884</v>
      </c>
      <c r="J31">
        <v>223</v>
      </c>
      <c r="K31">
        <v>882</v>
      </c>
      <c r="L31" s="22">
        <v>51614</v>
      </c>
      <c r="O31">
        <v>1992</v>
      </c>
      <c r="P31">
        <v>22.23</v>
      </c>
      <c r="Q31">
        <v>10.26</v>
      </c>
      <c r="R31">
        <v>12.5</v>
      </c>
      <c r="S31">
        <v>2.04</v>
      </c>
      <c r="T31">
        <v>0.7</v>
      </c>
      <c r="U31">
        <v>0.56000000000000005</v>
      </c>
      <c r="V31">
        <v>0.59</v>
      </c>
      <c r="W31">
        <v>0.85</v>
      </c>
      <c r="X31">
        <v>0.23</v>
      </c>
      <c r="Y31">
        <v>0.82</v>
      </c>
    </row>
    <row r="32" spans="1:25" x14ac:dyDescent="0.25">
      <c r="A32">
        <v>1993</v>
      </c>
      <c r="B32" s="22">
        <v>46863</v>
      </c>
      <c r="C32" s="22">
        <v>9260</v>
      </c>
      <c r="D32" s="22">
        <v>6575</v>
      </c>
      <c r="E32" s="22">
        <v>8723</v>
      </c>
      <c r="F32" s="22">
        <v>1342</v>
      </c>
      <c r="G32">
        <v>406</v>
      </c>
      <c r="H32">
        <v>300</v>
      </c>
      <c r="I32">
        <v>293</v>
      </c>
      <c r="J32">
        <v>416</v>
      </c>
      <c r="K32">
        <v>521</v>
      </c>
      <c r="L32" s="22">
        <v>74699</v>
      </c>
      <c r="O32">
        <v>1993</v>
      </c>
      <c r="P32">
        <v>45.92</v>
      </c>
      <c r="Q32">
        <v>9.0399999999999991</v>
      </c>
      <c r="R32">
        <v>6.49</v>
      </c>
      <c r="S32">
        <v>8.68</v>
      </c>
      <c r="T32">
        <v>1.34</v>
      </c>
      <c r="U32">
        <v>0.43</v>
      </c>
      <c r="V32">
        <v>0.3</v>
      </c>
      <c r="W32">
        <v>0.28000000000000003</v>
      </c>
      <c r="X32">
        <v>0.39</v>
      </c>
      <c r="Y32">
        <v>0.48</v>
      </c>
    </row>
    <row r="33" spans="1:25" x14ac:dyDescent="0.25">
      <c r="A33">
        <v>1994</v>
      </c>
      <c r="B33" s="22">
        <v>15943</v>
      </c>
      <c r="C33" s="22">
        <v>19051</v>
      </c>
      <c r="D33" s="22">
        <v>5883</v>
      </c>
      <c r="E33" s="22">
        <v>4675</v>
      </c>
      <c r="F33" s="22">
        <v>5550</v>
      </c>
      <c r="G33">
        <v>869</v>
      </c>
      <c r="H33">
        <v>242</v>
      </c>
      <c r="I33">
        <v>164</v>
      </c>
      <c r="J33">
        <v>160</v>
      </c>
      <c r="K33">
        <v>517</v>
      </c>
      <c r="L33" s="22">
        <v>53054</v>
      </c>
      <c r="O33">
        <v>1994</v>
      </c>
      <c r="P33">
        <v>15.39</v>
      </c>
      <c r="Q33">
        <v>18.670000000000002</v>
      </c>
      <c r="R33">
        <v>5.74</v>
      </c>
      <c r="S33">
        <v>4.63</v>
      </c>
      <c r="T33">
        <v>5.52</v>
      </c>
      <c r="U33">
        <v>0.87</v>
      </c>
      <c r="V33">
        <v>0.25</v>
      </c>
      <c r="W33">
        <v>0.16</v>
      </c>
      <c r="X33">
        <v>0.15</v>
      </c>
      <c r="Y33">
        <v>0.47</v>
      </c>
    </row>
    <row r="34" spans="1:25" x14ac:dyDescent="0.25">
      <c r="A34">
        <v>1995</v>
      </c>
      <c r="B34" s="22">
        <v>10905</v>
      </c>
      <c r="C34" s="22">
        <v>6481</v>
      </c>
      <c r="D34" s="22">
        <v>12108</v>
      </c>
      <c r="E34" s="22">
        <v>4277</v>
      </c>
      <c r="F34" s="22">
        <v>3181</v>
      </c>
      <c r="G34" s="22">
        <v>3283</v>
      </c>
      <c r="H34">
        <v>518</v>
      </c>
      <c r="I34">
        <v>136</v>
      </c>
      <c r="J34">
        <v>92</v>
      </c>
      <c r="K34">
        <v>384</v>
      </c>
      <c r="L34" s="22">
        <v>41365</v>
      </c>
      <c r="O34">
        <v>1995</v>
      </c>
      <c r="P34">
        <v>10.52</v>
      </c>
      <c r="Q34">
        <v>6.26</v>
      </c>
      <c r="R34">
        <v>11.87</v>
      </c>
      <c r="S34">
        <v>4.18</v>
      </c>
      <c r="T34">
        <v>3.15</v>
      </c>
      <c r="U34">
        <v>3.25</v>
      </c>
      <c r="V34">
        <v>0.51</v>
      </c>
      <c r="W34">
        <v>0.14000000000000001</v>
      </c>
      <c r="X34">
        <v>0.09</v>
      </c>
      <c r="Y34">
        <v>0.34</v>
      </c>
    </row>
    <row r="35" spans="1:25" x14ac:dyDescent="0.25">
      <c r="A35">
        <v>1996</v>
      </c>
      <c r="B35" s="22">
        <v>22878</v>
      </c>
      <c r="C35" s="22">
        <v>4433</v>
      </c>
      <c r="D35" s="22">
        <v>4119</v>
      </c>
      <c r="E35" s="22">
        <v>8861</v>
      </c>
      <c r="F35" s="22">
        <v>3044</v>
      </c>
      <c r="G35" s="22">
        <v>2034</v>
      </c>
      <c r="H35" s="22">
        <v>1794</v>
      </c>
      <c r="I35">
        <v>290</v>
      </c>
      <c r="J35">
        <v>76</v>
      </c>
      <c r="K35">
        <v>271</v>
      </c>
      <c r="L35" s="22">
        <v>47800</v>
      </c>
      <c r="O35">
        <v>1996</v>
      </c>
      <c r="P35">
        <v>22.66</v>
      </c>
      <c r="Q35">
        <v>4.28</v>
      </c>
      <c r="R35">
        <v>3.98</v>
      </c>
      <c r="S35">
        <v>8.69</v>
      </c>
      <c r="T35">
        <v>2.97</v>
      </c>
      <c r="U35">
        <v>2</v>
      </c>
      <c r="V35">
        <v>1.77</v>
      </c>
      <c r="W35">
        <v>0.28999999999999998</v>
      </c>
      <c r="X35">
        <v>0.08</v>
      </c>
      <c r="Y35">
        <v>0.24</v>
      </c>
    </row>
    <row r="36" spans="1:25" x14ac:dyDescent="0.25">
      <c r="A36">
        <v>1997</v>
      </c>
      <c r="B36" s="22">
        <v>31178</v>
      </c>
      <c r="C36" s="22">
        <v>9301</v>
      </c>
      <c r="D36" s="22">
        <v>2812</v>
      </c>
      <c r="E36" s="22">
        <v>3003</v>
      </c>
      <c r="F36" s="22">
        <v>6417</v>
      </c>
      <c r="G36" s="22">
        <v>2075</v>
      </c>
      <c r="H36" s="22">
        <v>1174</v>
      </c>
      <c r="I36">
        <v>896</v>
      </c>
      <c r="J36">
        <v>146</v>
      </c>
      <c r="K36">
        <v>187</v>
      </c>
      <c r="L36" s="22">
        <v>57190</v>
      </c>
      <c r="O36">
        <v>1997</v>
      </c>
      <c r="P36">
        <v>30.96</v>
      </c>
      <c r="Q36">
        <v>9.2100000000000009</v>
      </c>
      <c r="R36">
        <v>2.72</v>
      </c>
      <c r="S36">
        <v>2.9</v>
      </c>
      <c r="T36">
        <v>6.29</v>
      </c>
      <c r="U36">
        <v>2.02</v>
      </c>
      <c r="V36">
        <v>1.1499999999999999</v>
      </c>
      <c r="W36">
        <v>0.87</v>
      </c>
      <c r="X36">
        <v>0.14000000000000001</v>
      </c>
      <c r="Y36">
        <v>0.17</v>
      </c>
    </row>
    <row r="37" spans="1:25" x14ac:dyDescent="0.25">
      <c r="A37">
        <v>1998</v>
      </c>
      <c r="B37" s="22">
        <v>15483</v>
      </c>
      <c r="C37" s="22">
        <v>12675</v>
      </c>
      <c r="D37" s="22">
        <v>5889</v>
      </c>
      <c r="E37" s="22">
        <v>2044</v>
      </c>
      <c r="F37" s="22">
        <v>2140</v>
      </c>
      <c r="G37" s="22">
        <v>4359</v>
      </c>
      <c r="H37" s="22">
        <v>1285</v>
      </c>
      <c r="I37">
        <v>643</v>
      </c>
      <c r="J37">
        <v>469</v>
      </c>
      <c r="K37">
        <v>174</v>
      </c>
      <c r="L37" s="22">
        <v>45162</v>
      </c>
      <c r="O37">
        <v>1998</v>
      </c>
      <c r="P37">
        <v>15.26</v>
      </c>
      <c r="Q37">
        <v>12.59</v>
      </c>
      <c r="R37">
        <v>5.84</v>
      </c>
      <c r="S37">
        <v>1.97</v>
      </c>
      <c r="T37">
        <v>2.0699999999999998</v>
      </c>
      <c r="U37">
        <v>4.2699999999999996</v>
      </c>
      <c r="V37">
        <v>1.25</v>
      </c>
      <c r="W37">
        <v>0.63</v>
      </c>
      <c r="X37">
        <v>0.45</v>
      </c>
      <c r="Y37">
        <v>0.16</v>
      </c>
    </row>
    <row r="38" spans="1:25" x14ac:dyDescent="0.25">
      <c r="A38">
        <v>1999</v>
      </c>
      <c r="B38" s="22">
        <v>16827</v>
      </c>
      <c r="C38" s="22">
        <v>6295</v>
      </c>
      <c r="D38" s="22">
        <v>8045</v>
      </c>
      <c r="E38" s="22">
        <v>4264</v>
      </c>
      <c r="F38" s="22">
        <v>1445</v>
      </c>
      <c r="G38" s="22">
        <v>1450</v>
      </c>
      <c r="H38" s="22">
        <v>2663</v>
      </c>
      <c r="I38">
        <v>774</v>
      </c>
      <c r="J38">
        <v>360</v>
      </c>
      <c r="K38">
        <v>351</v>
      </c>
      <c r="L38" s="22">
        <v>42473</v>
      </c>
      <c r="O38">
        <v>1999</v>
      </c>
      <c r="P38">
        <v>16.420000000000002</v>
      </c>
      <c r="Q38">
        <v>6.2</v>
      </c>
      <c r="R38">
        <v>7.99</v>
      </c>
      <c r="S38">
        <v>4.2300000000000004</v>
      </c>
      <c r="T38">
        <v>1.39</v>
      </c>
      <c r="U38">
        <v>1.4</v>
      </c>
      <c r="V38">
        <v>2.59</v>
      </c>
      <c r="W38">
        <v>0.75</v>
      </c>
      <c r="X38">
        <v>0.34</v>
      </c>
      <c r="Y38">
        <v>0.33</v>
      </c>
    </row>
    <row r="39" spans="1:25" x14ac:dyDescent="0.25">
      <c r="A39">
        <v>2000</v>
      </c>
      <c r="B39" s="22">
        <v>25850</v>
      </c>
      <c r="C39" s="22">
        <v>6841</v>
      </c>
      <c r="D39" s="22">
        <v>4004</v>
      </c>
      <c r="E39" s="22">
        <v>5724</v>
      </c>
      <c r="F39" s="22">
        <v>2968</v>
      </c>
      <c r="G39">
        <v>980</v>
      </c>
      <c r="H39">
        <v>942</v>
      </c>
      <c r="I39" s="22">
        <v>1579</v>
      </c>
      <c r="J39">
        <v>463</v>
      </c>
      <c r="K39">
        <v>431</v>
      </c>
      <c r="L39" s="22">
        <v>49783</v>
      </c>
      <c r="O39">
        <v>2000</v>
      </c>
      <c r="P39">
        <v>25.51</v>
      </c>
      <c r="Q39">
        <v>6.67</v>
      </c>
      <c r="R39">
        <v>3.95</v>
      </c>
      <c r="S39">
        <v>5.69</v>
      </c>
      <c r="T39">
        <v>2.94</v>
      </c>
      <c r="U39">
        <v>0.94</v>
      </c>
      <c r="V39">
        <v>0.9</v>
      </c>
      <c r="W39">
        <v>1.52</v>
      </c>
      <c r="X39">
        <v>0.44</v>
      </c>
      <c r="Y39">
        <v>0.4</v>
      </c>
    </row>
    <row r="40" spans="1:25" x14ac:dyDescent="0.25">
      <c r="A40">
        <v>2001</v>
      </c>
      <c r="B40" s="22">
        <v>35963</v>
      </c>
      <c r="C40" s="22">
        <v>10510</v>
      </c>
      <c r="D40" s="22">
        <v>4351</v>
      </c>
      <c r="E40" s="22">
        <v>2895</v>
      </c>
      <c r="F40" s="22">
        <v>3880</v>
      </c>
      <c r="G40" s="22">
        <v>1905</v>
      </c>
      <c r="H40">
        <v>630</v>
      </c>
      <c r="I40">
        <v>555</v>
      </c>
      <c r="J40">
        <v>873</v>
      </c>
      <c r="K40">
        <v>532</v>
      </c>
      <c r="L40" s="22">
        <v>62094</v>
      </c>
      <c r="O40">
        <v>2001</v>
      </c>
      <c r="P40">
        <v>34.909999999999997</v>
      </c>
      <c r="Q40">
        <v>10.37</v>
      </c>
      <c r="R40">
        <v>4.25</v>
      </c>
      <c r="S40">
        <v>2.85</v>
      </c>
      <c r="T40">
        <v>3.85</v>
      </c>
      <c r="U40">
        <v>1.88</v>
      </c>
      <c r="V40">
        <v>0.6</v>
      </c>
      <c r="W40">
        <v>0.52</v>
      </c>
      <c r="X40">
        <v>0.83</v>
      </c>
      <c r="Y40">
        <v>0.5</v>
      </c>
    </row>
    <row r="41" spans="1:25" x14ac:dyDescent="0.25">
      <c r="A41">
        <v>2002</v>
      </c>
      <c r="B41" s="22">
        <v>23952</v>
      </c>
      <c r="C41" s="22">
        <v>14621</v>
      </c>
      <c r="D41" s="22">
        <v>6687</v>
      </c>
      <c r="E41" s="22">
        <v>3166</v>
      </c>
      <c r="F41" s="22">
        <v>1997</v>
      </c>
      <c r="G41" s="22">
        <v>2364</v>
      </c>
      <c r="H41" s="22">
        <v>1061</v>
      </c>
      <c r="I41">
        <v>352</v>
      </c>
      <c r="J41">
        <v>311</v>
      </c>
      <c r="K41">
        <v>811</v>
      </c>
      <c r="L41" s="22">
        <v>55322</v>
      </c>
      <c r="O41">
        <v>2002</v>
      </c>
      <c r="P41">
        <v>23.45</v>
      </c>
      <c r="Q41">
        <v>14.19</v>
      </c>
      <c r="R41">
        <v>6.6</v>
      </c>
      <c r="S41">
        <v>3.09</v>
      </c>
      <c r="T41">
        <v>1.97</v>
      </c>
      <c r="U41">
        <v>2.33</v>
      </c>
      <c r="V41">
        <v>1.04</v>
      </c>
      <c r="W41">
        <v>0.33</v>
      </c>
      <c r="X41">
        <v>0.28999999999999998</v>
      </c>
      <c r="Y41">
        <v>0.76</v>
      </c>
    </row>
    <row r="42" spans="1:25" x14ac:dyDescent="0.25">
      <c r="A42">
        <v>2003</v>
      </c>
      <c r="B42" s="22">
        <v>14626</v>
      </c>
      <c r="C42" s="22">
        <v>9738</v>
      </c>
      <c r="D42" s="22">
        <v>9289</v>
      </c>
      <c r="E42" s="22">
        <v>4848</v>
      </c>
      <c r="F42" s="22">
        <v>2160</v>
      </c>
      <c r="G42" s="22">
        <v>1230</v>
      </c>
      <c r="H42" s="22">
        <v>1224</v>
      </c>
      <c r="I42">
        <v>552</v>
      </c>
      <c r="J42">
        <v>184</v>
      </c>
      <c r="K42">
        <v>627</v>
      </c>
      <c r="L42" s="22">
        <v>44478</v>
      </c>
      <c r="O42">
        <v>2003</v>
      </c>
      <c r="P42">
        <v>14.41</v>
      </c>
      <c r="Q42">
        <v>9.5299999999999994</v>
      </c>
      <c r="R42">
        <v>9.02</v>
      </c>
      <c r="S42">
        <v>4.79</v>
      </c>
      <c r="T42">
        <v>2.11</v>
      </c>
      <c r="U42">
        <v>1.21</v>
      </c>
      <c r="V42">
        <v>1.19</v>
      </c>
      <c r="W42">
        <v>0.53</v>
      </c>
      <c r="X42">
        <v>0.17</v>
      </c>
      <c r="Y42">
        <v>0.56999999999999995</v>
      </c>
    </row>
    <row r="43" spans="1:25" x14ac:dyDescent="0.25">
      <c r="A43">
        <v>2004</v>
      </c>
      <c r="B43" s="22">
        <v>6640</v>
      </c>
      <c r="C43" s="22">
        <v>5946</v>
      </c>
      <c r="D43" s="22">
        <v>6193</v>
      </c>
      <c r="E43" s="22">
        <v>6560</v>
      </c>
      <c r="F43" s="22">
        <v>3301</v>
      </c>
      <c r="G43" s="22">
        <v>1287</v>
      </c>
      <c r="H43">
        <v>653</v>
      </c>
      <c r="I43">
        <v>617</v>
      </c>
      <c r="J43">
        <v>281</v>
      </c>
      <c r="K43">
        <v>454</v>
      </c>
      <c r="L43" s="22">
        <v>31932</v>
      </c>
      <c r="O43">
        <v>2004</v>
      </c>
      <c r="P43">
        <v>6.57</v>
      </c>
      <c r="Q43">
        <v>5.86</v>
      </c>
      <c r="R43">
        <v>6.07</v>
      </c>
      <c r="S43">
        <v>6.36</v>
      </c>
      <c r="T43">
        <v>3.25</v>
      </c>
      <c r="U43">
        <v>1.25</v>
      </c>
      <c r="V43">
        <v>0.63</v>
      </c>
      <c r="W43">
        <v>0.59</v>
      </c>
      <c r="X43">
        <v>0.26</v>
      </c>
      <c r="Y43">
        <v>0.41</v>
      </c>
    </row>
    <row r="44" spans="1:25" x14ac:dyDescent="0.25">
      <c r="A44">
        <v>2005</v>
      </c>
      <c r="B44" s="22">
        <v>4832</v>
      </c>
      <c r="C44" s="22">
        <v>2700</v>
      </c>
      <c r="D44" s="22">
        <v>3785</v>
      </c>
      <c r="E44" s="22">
        <v>4495</v>
      </c>
      <c r="F44" s="22">
        <v>4149</v>
      </c>
      <c r="G44" s="22">
        <v>2020</v>
      </c>
      <c r="H44">
        <v>738</v>
      </c>
      <c r="I44">
        <v>346</v>
      </c>
      <c r="J44">
        <v>330</v>
      </c>
      <c r="K44">
        <v>421</v>
      </c>
      <c r="L44" s="22">
        <v>23815</v>
      </c>
      <c r="O44">
        <v>2005</v>
      </c>
      <c r="P44">
        <v>4.72</v>
      </c>
      <c r="Q44">
        <v>2.67</v>
      </c>
      <c r="R44">
        <v>3.73</v>
      </c>
      <c r="S44">
        <v>4.4000000000000004</v>
      </c>
      <c r="T44">
        <v>4</v>
      </c>
      <c r="U44">
        <v>1.97</v>
      </c>
      <c r="V44">
        <v>0.7</v>
      </c>
      <c r="W44">
        <v>0.33</v>
      </c>
      <c r="X44">
        <v>0.31</v>
      </c>
      <c r="Y44">
        <v>0.38</v>
      </c>
    </row>
    <row r="45" spans="1:25" x14ac:dyDescent="0.25">
      <c r="A45">
        <v>2006</v>
      </c>
      <c r="B45" s="22">
        <v>12208</v>
      </c>
      <c r="C45" s="22">
        <v>1964</v>
      </c>
      <c r="D45" s="22">
        <v>1718</v>
      </c>
      <c r="E45" s="22">
        <v>2748</v>
      </c>
      <c r="F45" s="22">
        <v>2991</v>
      </c>
      <c r="G45" s="22">
        <v>2322</v>
      </c>
      <c r="H45" s="22">
        <v>1090</v>
      </c>
      <c r="I45">
        <v>411</v>
      </c>
      <c r="J45">
        <v>197</v>
      </c>
      <c r="K45">
        <v>443</v>
      </c>
      <c r="L45" s="22">
        <v>26093</v>
      </c>
      <c r="O45">
        <v>2006</v>
      </c>
      <c r="P45">
        <v>11.9</v>
      </c>
      <c r="Q45">
        <v>1.92</v>
      </c>
      <c r="R45">
        <v>1.7</v>
      </c>
      <c r="S45">
        <v>2.71</v>
      </c>
      <c r="T45">
        <v>2.91</v>
      </c>
      <c r="U45">
        <v>2.21</v>
      </c>
      <c r="V45">
        <v>1.06</v>
      </c>
      <c r="W45">
        <v>0.39</v>
      </c>
      <c r="X45">
        <v>0.18</v>
      </c>
      <c r="Y45">
        <v>0.4</v>
      </c>
    </row>
    <row r="46" spans="1:25" x14ac:dyDescent="0.25">
      <c r="A46">
        <v>2007</v>
      </c>
      <c r="B46" s="22">
        <v>26391</v>
      </c>
      <c r="C46" s="22">
        <v>4963</v>
      </c>
      <c r="D46" s="22">
        <v>1249</v>
      </c>
      <c r="E46" s="22">
        <v>1216</v>
      </c>
      <c r="F46" s="22">
        <v>1792</v>
      </c>
      <c r="G46" s="22">
        <v>1692</v>
      </c>
      <c r="H46" s="22">
        <v>1190</v>
      </c>
      <c r="I46">
        <v>568</v>
      </c>
      <c r="J46">
        <v>218</v>
      </c>
      <c r="K46">
        <v>359</v>
      </c>
      <c r="L46" s="22">
        <v>39638</v>
      </c>
      <c r="O46">
        <v>2007</v>
      </c>
      <c r="P46">
        <v>25.62</v>
      </c>
      <c r="Q46">
        <v>4.84</v>
      </c>
      <c r="R46">
        <v>1.22</v>
      </c>
      <c r="S46">
        <v>1.2</v>
      </c>
      <c r="T46">
        <v>1.76</v>
      </c>
      <c r="U46">
        <v>1.64</v>
      </c>
      <c r="V46">
        <v>1.1000000000000001</v>
      </c>
      <c r="W46">
        <v>0.54</v>
      </c>
      <c r="X46">
        <v>0.2</v>
      </c>
      <c r="Y46">
        <v>0.32</v>
      </c>
    </row>
    <row r="47" spans="1:25" x14ac:dyDescent="0.25">
      <c r="A47">
        <v>2008</v>
      </c>
      <c r="B47" s="22">
        <v>14622</v>
      </c>
      <c r="C47" s="22">
        <v>10729</v>
      </c>
      <c r="D47" s="22">
        <v>3154</v>
      </c>
      <c r="E47">
        <v>884</v>
      </c>
      <c r="F47">
        <v>795</v>
      </c>
      <c r="G47" s="22">
        <v>1014</v>
      </c>
      <c r="H47">
        <v>831</v>
      </c>
      <c r="I47">
        <v>611</v>
      </c>
      <c r="J47">
        <v>302</v>
      </c>
      <c r="K47">
        <v>317</v>
      </c>
      <c r="L47" s="22">
        <v>33261</v>
      </c>
      <c r="O47">
        <v>2008</v>
      </c>
      <c r="P47">
        <v>14.01</v>
      </c>
      <c r="Q47">
        <v>10.42</v>
      </c>
      <c r="R47">
        <v>3.08</v>
      </c>
      <c r="S47">
        <v>0.86</v>
      </c>
      <c r="T47">
        <v>0.77</v>
      </c>
      <c r="U47">
        <v>0.98</v>
      </c>
      <c r="V47">
        <v>0.79</v>
      </c>
      <c r="W47">
        <v>0.55000000000000004</v>
      </c>
      <c r="X47">
        <v>0.28000000000000003</v>
      </c>
      <c r="Y47">
        <v>0.28000000000000003</v>
      </c>
    </row>
    <row r="48" spans="1:25" x14ac:dyDescent="0.25">
      <c r="A48">
        <v>2009</v>
      </c>
      <c r="B48" s="22">
        <v>56931</v>
      </c>
      <c r="C48" s="22">
        <v>5945</v>
      </c>
      <c r="D48" s="22">
        <v>6822</v>
      </c>
      <c r="E48" s="22">
        <v>2278</v>
      </c>
      <c r="F48">
        <v>584</v>
      </c>
      <c r="G48">
        <v>459</v>
      </c>
      <c r="H48">
        <v>489</v>
      </c>
      <c r="I48">
        <v>411</v>
      </c>
      <c r="J48">
        <v>316</v>
      </c>
      <c r="K48">
        <v>328</v>
      </c>
      <c r="L48" s="22">
        <v>74562</v>
      </c>
      <c r="O48">
        <v>2009</v>
      </c>
      <c r="P48">
        <v>53.82</v>
      </c>
      <c r="Q48">
        <v>5.69</v>
      </c>
      <c r="R48">
        <v>6.62</v>
      </c>
      <c r="S48">
        <v>2.2200000000000002</v>
      </c>
      <c r="T48">
        <v>0.56999999999999995</v>
      </c>
      <c r="U48">
        <v>0.44</v>
      </c>
      <c r="V48">
        <v>0.46</v>
      </c>
      <c r="W48">
        <v>0.38</v>
      </c>
      <c r="X48">
        <v>0.27</v>
      </c>
      <c r="Y48">
        <v>0.28000000000000003</v>
      </c>
    </row>
    <row r="49" spans="1:25" x14ac:dyDescent="0.25">
      <c r="A49">
        <v>2010</v>
      </c>
      <c r="B49" s="22">
        <v>22500</v>
      </c>
      <c r="C49" s="22">
        <v>23146</v>
      </c>
      <c r="D49" s="22">
        <v>3784</v>
      </c>
      <c r="E49" s="22">
        <v>4932</v>
      </c>
      <c r="F49" s="22">
        <v>1523</v>
      </c>
      <c r="G49">
        <v>364</v>
      </c>
      <c r="H49">
        <v>250</v>
      </c>
      <c r="I49">
        <v>256</v>
      </c>
      <c r="J49">
        <v>217</v>
      </c>
      <c r="K49">
        <v>339</v>
      </c>
      <c r="L49" s="22">
        <v>57310</v>
      </c>
      <c r="O49">
        <v>2010</v>
      </c>
      <c r="P49">
        <v>21.63</v>
      </c>
      <c r="Q49">
        <v>21.88</v>
      </c>
      <c r="R49">
        <v>3.62</v>
      </c>
      <c r="S49">
        <v>4.76</v>
      </c>
      <c r="T49">
        <v>1.47</v>
      </c>
      <c r="U49">
        <v>0.34</v>
      </c>
      <c r="V49">
        <v>0.23</v>
      </c>
      <c r="W49">
        <v>0.24</v>
      </c>
      <c r="X49">
        <v>0.2</v>
      </c>
      <c r="Y49">
        <v>0.28999999999999998</v>
      </c>
    </row>
    <row r="50" spans="1:25" x14ac:dyDescent="0.25">
      <c r="A50">
        <v>2011</v>
      </c>
      <c r="B50" s="22">
        <v>13479</v>
      </c>
      <c r="C50" s="22">
        <v>9148</v>
      </c>
      <c r="D50" s="22">
        <v>14734</v>
      </c>
      <c r="E50" s="22">
        <v>2768</v>
      </c>
      <c r="F50" s="22">
        <v>3181</v>
      </c>
      <c r="G50">
        <v>936</v>
      </c>
      <c r="H50">
        <v>216</v>
      </c>
      <c r="I50">
        <v>143</v>
      </c>
      <c r="J50">
        <v>143</v>
      </c>
      <c r="K50">
        <v>313</v>
      </c>
      <c r="L50" s="22">
        <v>45061</v>
      </c>
      <c r="O50">
        <v>2011</v>
      </c>
      <c r="P50">
        <v>12.78</v>
      </c>
      <c r="Q50">
        <v>8.7899999999999991</v>
      </c>
      <c r="R50">
        <v>13.93</v>
      </c>
      <c r="S50">
        <v>2.65</v>
      </c>
      <c r="T50">
        <v>3.05</v>
      </c>
      <c r="U50">
        <v>0.89</v>
      </c>
      <c r="V50">
        <v>0.2</v>
      </c>
      <c r="W50">
        <v>0.13</v>
      </c>
      <c r="X50">
        <v>0.13</v>
      </c>
      <c r="Y50">
        <v>0.27</v>
      </c>
    </row>
    <row r="51" spans="1:25" x14ac:dyDescent="0.25">
      <c r="A51">
        <v>2012</v>
      </c>
      <c r="B51" s="22">
        <v>11201</v>
      </c>
      <c r="C51" s="22">
        <v>5480</v>
      </c>
      <c r="D51" s="22">
        <v>5819</v>
      </c>
      <c r="E51" s="22">
        <v>10740</v>
      </c>
      <c r="F51" s="22">
        <v>1928</v>
      </c>
      <c r="G51" s="22">
        <v>1638</v>
      </c>
      <c r="H51">
        <v>459</v>
      </c>
      <c r="I51">
        <v>109</v>
      </c>
      <c r="J51">
        <v>73</v>
      </c>
      <c r="K51">
        <v>237</v>
      </c>
      <c r="L51" s="22">
        <v>37685</v>
      </c>
      <c r="O51">
        <v>2012</v>
      </c>
      <c r="P51">
        <v>11.06</v>
      </c>
      <c r="Q51">
        <v>5.2</v>
      </c>
      <c r="R51">
        <v>5.6</v>
      </c>
      <c r="S51">
        <v>10.14</v>
      </c>
      <c r="T51">
        <v>1.84</v>
      </c>
      <c r="U51">
        <v>1.54</v>
      </c>
      <c r="V51">
        <v>0.43</v>
      </c>
      <c r="W51">
        <v>0.1</v>
      </c>
      <c r="X51">
        <v>0.06</v>
      </c>
      <c r="Y51">
        <v>0.2</v>
      </c>
    </row>
    <row r="52" spans="1:25" x14ac:dyDescent="0.25">
      <c r="A52">
        <v>2013</v>
      </c>
      <c r="B52" s="22">
        <v>63522</v>
      </c>
      <c r="C52" s="22">
        <v>4554</v>
      </c>
      <c r="D52" s="22">
        <v>3484</v>
      </c>
      <c r="E52" s="22">
        <v>4212</v>
      </c>
      <c r="F52" s="22">
        <v>7150</v>
      </c>
      <c r="G52" s="22">
        <v>1264</v>
      </c>
      <c r="H52">
        <v>825</v>
      </c>
      <c r="I52">
        <v>230</v>
      </c>
      <c r="J52">
        <v>55</v>
      </c>
      <c r="K52">
        <v>160</v>
      </c>
      <c r="L52" s="22">
        <v>85456</v>
      </c>
      <c r="O52">
        <v>2013</v>
      </c>
      <c r="P52">
        <v>60.22</v>
      </c>
      <c r="Q52">
        <v>4.5</v>
      </c>
      <c r="R52">
        <v>3.31</v>
      </c>
      <c r="S52">
        <v>4.05</v>
      </c>
      <c r="T52">
        <v>6.7</v>
      </c>
      <c r="U52">
        <v>1.2</v>
      </c>
      <c r="V52">
        <v>0.74</v>
      </c>
      <c r="W52">
        <v>0.21</v>
      </c>
      <c r="X52">
        <v>0.05</v>
      </c>
      <c r="Y52">
        <v>0.13</v>
      </c>
    </row>
    <row r="53" spans="1:25" x14ac:dyDescent="0.25">
      <c r="A53">
        <v>2014</v>
      </c>
      <c r="B53" s="22">
        <v>31883</v>
      </c>
      <c r="C53" s="22">
        <v>25825</v>
      </c>
      <c r="D53" s="22">
        <v>2898</v>
      </c>
      <c r="E53" s="22">
        <v>2522</v>
      </c>
      <c r="F53" s="22">
        <v>2820</v>
      </c>
      <c r="G53" s="22">
        <v>4467</v>
      </c>
      <c r="H53">
        <v>775</v>
      </c>
      <c r="I53">
        <v>459</v>
      </c>
      <c r="J53">
        <v>118</v>
      </c>
      <c r="K53">
        <v>111</v>
      </c>
      <c r="L53" s="22">
        <v>71879</v>
      </c>
      <c r="O53">
        <v>2014</v>
      </c>
      <c r="P53">
        <v>39.880000000000003</v>
      </c>
      <c r="Q53">
        <v>24.48</v>
      </c>
      <c r="R53">
        <v>2.86</v>
      </c>
      <c r="S53">
        <v>2.39</v>
      </c>
      <c r="T53">
        <v>2.7</v>
      </c>
      <c r="U53">
        <v>4.13</v>
      </c>
      <c r="V53">
        <v>0.72</v>
      </c>
      <c r="W53">
        <v>0.4</v>
      </c>
      <c r="X53">
        <v>0.1</v>
      </c>
      <c r="Y53">
        <v>0.09</v>
      </c>
    </row>
    <row r="54" spans="1:25" x14ac:dyDescent="0.25">
      <c r="A54">
        <v>2015</v>
      </c>
      <c r="B54" s="22">
        <v>18180</v>
      </c>
      <c r="C54" s="22">
        <v>12962</v>
      </c>
      <c r="D54" s="22">
        <v>16436</v>
      </c>
      <c r="E54" s="22">
        <v>2107</v>
      </c>
      <c r="F54" s="22">
        <v>1715</v>
      </c>
      <c r="G54" s="22">
        <v>1746</v>
      </c>
      <c r="H54" s="22">
        <v>2653</v>
      </c>
      <c r="I54">
        <v>420</v>
      </c>
      <c r="J54">
        <v>255</v>
      </c>
      <c r="K54">
        <v>126</v>
      </c>
      <c r="L54" s="22">
        <v>56598</v>
      </c>
      <c r="O54">
        <v>2015</v>
      </c>
      <c r="P54">
        <v>17.260000000000002</v>
      </c>
      <c r="Q54">
        <v>16.21</v>
      </c>
      <c r="R54">
        <v>15.59</v>
      </c>
      <c r="S54">
        <v>2.08</v>
      </c>
      <c r="T54">
        <v>1.62</v>
      </c>
      <c r="U54">
        <v>1.65</v>
      </c>
      <c r="V54">
        <v>2.39</v>
      </c>
      <c r="W54">
        <v>0.38</v>
      </c>
      <c r="X54">
        <v>0.21</v>
      </c>
      <c r="Y54">
        <v>0.1</v>
      </c>
    </row>
    <row r="55" spans="1:25" x14ac:dyDescent="0.25">
      <c r="A55">
        <v>2016</v>
      </c>
      <c r="B55" s="22">
        <v>18951</v>
      </c>
      <c r="C55" s="22">
        <v>7391</v>
      </c>
      <c r="D55" s="22">
        <v>8251</v>
      </c>
      <c r="E55" s="22">
        <v>11696</v>
      </c>
      <c r="F55" s="22">
        <v>1415</v>
      </c>
      <c r="G55" s="22">
        <v>1090</v>
      </c>
      <c r="H55" s="22">
        <v>1003</v>
      </c>
      <c r="I55" s="22">
        <v>1552</v>
      </c>
      <c r="J55">
        <v>244</v>
      </c>
      <c r="K55">
        <v>217</v>
      </c>
      <c r="L55" s="22">
        <v>51810</v>
      </c>
      <c r="O55">
        <v>2016</v>
      </c>
      <c r="P55">
        <v>18.239999999999998</v>
      </c>
      <c r="Q55">
        <v>7.02</v>
      </c>
      <c r="R55">
        <v>10.32</v>
      </c>
      <c r="S55">
        <v>11.02</v>
      </c>
      <c r="T55">
        <v>1.37</v>
      </c>
      <c r="U55">
        <v>1</v>
      </c>
      <c r="V55">
        <v>0.9</v>
      </c>
      <c r="W55">
        <v>1.31</v>
      </c>
      <c r="X55">
        <v>0.2</v>
      </c>
      <c r="Y55">
        <v>0.16</v>
      </c>
    </row>
    <row r="56" spans="1:25" x14ac:dyDescent="0.25">
      <c r="A56" t="s">
        <v>56</v>
      </c>
      <c r="B56" s="22">
        <v>19430</v>
      </c>
      <c r="C56" s="22">
        <v>7707</v>
      </c>
      <c r="D56" s="22">
        <v>4440</v>
      </c>
      <c r="E56" s="22">
        <v>2896</v>
      </c>
      <c r="F56" s="22">
        <v>1773</v>
      </c>
      <c r="G56" s="22">
        <v>1070</v>
      </c>
      <c r="H56">
        <v>585</v>
      </c>
      <c r="I56">
        <v>273</v>
      </c>
      <c r="J56">
        <v>137</v>
      </c>
      <c r="K56">
        <v>187</v>
      </c>
      <c r="L56" s="22">
        <v>45162</v>
      </c>
      <c r="O56">
        <v>2017</v>
      </c>
      <c r="P56">
        <v>18.47</v>
      </c>
      <c r="Q56">
        <v>7.42</v>
      </c>
      <c r="R56">
        <v>4.47</v>
      </c>
      <c r="S56">
        <v>7.56</v>
      </c>
      <c r="T56">
        <v>6.98</v>
      </c>
      <c r="U56">
        <v>0.88</v>
      </c>
      <c r="V56">
        <v>0.59</v>
      </c>
      <c r="W56">
        <v>0.52</v>
      </c>
      <c r="X56">
        <v>0.77</v>
      </c>
      <c r="Y56">
        <v>0.22</v>
      </c>
    </row>
    <row r="57" spans="1:25" x14ac:dyDescent="0.25">
      <c r="A57" t="s">
        <v>57</v>
      </c>
      <c r="B57" s="22">
        <v>22993</v>
      </c>
      <c r="C57" s="22">
        <v>9255</v>
      </c>
      <c r="D57" s="22">
        <v>5727</v>
      </c>
      <c r="E57" s="22">
        <v>3807</v>
      </c>
      <c r="F57" s="22">
        <v>2316</v>
      </c>
      <c r="G57" s="22">
        <v>1401</v>
      </c>
      <c r="H57">
        <v>794</v>
      </c>
      <c r="I57">
        <v>435</v>
      </c>
      <c r="J57">
        <v>226</v>
      </c>
      <c r="K57">
        <v>289</v>
      </c>
      <c r="L57" s="22">
        <v>47242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All data</vt:lpstr>
      <vt:lpstr>2017 Ianelli</vt:lpstr>
      <vt:lpstr>pollock Model 2017 data</vt:lpstr>
      <vt:lpstr>'pollock Model 2017 data'!Age_3_pollock</vt:lpstr>
      <vt:lpstr>'pollock Model 2017 data'!Ianelli_Table_1.30_et_al_2016_pollock_Model_2016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ellen.martinson</dc:creator>
  <cp:lastModifiedBy>Ellen.Yasumiishi</cp:lastModifiedBy>
  <cp:lastPrinted>2016-08-16T18:43:48Z</cp:lastPrinted>
  <dcterms:created xsi:type="dcterms:W3CDTF">2013-11-01T15:24:20Z</dcterms:created>
  <dcterms:modified xsi:type="dcterms:W3CDTF">2018-08-23T18:41:15Z</dcterms:modified>
</cp:coreProperties>
</file>